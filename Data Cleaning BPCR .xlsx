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D:\MASTER EPIDIMIOLOGY COURSES\Data Analys courses\EXCELAPP LESSONS\PROJECTS IN EXCEL\Proj2\"/>
    </mc:Choice>
  </mc:AlternateContent>
  <xr:revisionPtr revIDLastSave="0" documentId="13_ncr:1_{4D780BCB-0056-4788-B517-ED6401EF3A91}" xr6:coauthVersionLast="47" xr6:coauthVersionMax="47" xr10:uidLastSave="{00000000-0000-0000-0000-000000000000}"/>
  <bookViews>
    <workbookView xWindow="-110" yWindow="-110" windowWidth="19420" windowHeight="10300" xr2:uid="{00000000-000D-0000-FFFF-FFFF00000000}"/>
  </bookViews>
  <sheets>
    <sheet name="BPCR Table" sheetId="5" r:id="rId1"/>
    <sheet name="Descriptive analayse " sheetId="6" r:id="rId2"/>
    <sheet name="Pivot" sheetId="7" r:id="rId3"/>
    <sheet name="Dashboard" sheetId="8" r:id="rId4"/>
  </sheets>
  <definedNames>
    <definedName name="ExternalData_3" localSheetId="0" hidden="1">'BPCR Table'!$A$1:$N$301</definedName>
    <definedName name="Slicer_Education_Level">#N/A</definedName>
    <definedName name="Slicer_Ever_Attended_ANC">#N/A</definedName>
    <definedName name="Slicer_Marital_Status">#N/A</definedName>
    <definedName name="Slicer_Planned_Place_of_Birth">#N/A</definedName>
  </definedNames>
  <calcPr calcId="191029"/>
  <pivotCaches>
    <pivotCache cacheId="10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6" l="1"/>
  <c r="C17" i="6"/>
  <c r="C16" i="6"/>
  <c r="C15" i="6"/>
  <c r="C14" i="6"/>
  <c r="C13" i="6"/>
  <c r="C12" i="6"/>
  <c r="C8" i="6"/>
  <c r="C7" i="6"/>
  <c r="C6" i="6"/>
  <c r="C5" i="6"/>
  <c r="C4" i="6"/>
  <c r="C3" i="6"/>
  <c r="C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B50A6B-95D8-4E02-8BE3-8A311135BD92}" keepAlive="1" name="Query - Table1_2" description="Connection to the 'Table1_2' query in the workbook." type="5" refreshedVersion="8"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<sst xmlns="http://schemas.openxmlformats.org/spreadsheetml/2006/main" count="3500" uniqueCount="59">
  <si>
    <t>Age</t>
  </si>
  <si>
    <t>Income</t>
  </si>
  <si>
    <t>Married</t>
  </si>
  <si>
    <t>No Formal Education</t>
  </si>
  <si>
    <t>No</t>
  </si>
  <si>
    <t>Yes</t>
  </si>
  <si>
    <t>Not at all</t>
  </si>
  <si>
    <t>Health Institutions</t>
  </si>
  <si>
    <t>Knowledgeable</t>
  </si>
  <si>
    <t>Not knowledgeable</t>
  </si>
  <si>
    <t>Not Prepared</t>
  </si>
  <si>
    <t>Tertiary Education</t>
  </si>
  <si>
    <t>Primary Education</t>
  </si>
  <si>
    <t>Prepared</t>
  </si>
  <si>
    <t>Home</t>
  </si>
  <si>
    <t>Secondary Education</t>
  </si>
  <si>
    <t>Divorced</t>
  </si>
  <si>
    <t>Widowed</t>
  </si>
  <si>
    <t>Respondent ID</t>
  </si>
  <si>
    <t>Marital Status</t>
  </si>
  <si>
    <t>Education Level</t>
  </si>
  <si>
    <t>Ever Attended ANC</t>
  </si>
  <si>
    <t>ANC During Last Pregnancy</t>
  </si>
  <si>
    <t>BPCR Health Education</t>
  </si>
  <si>
    <t>Planned Place of Birth</t>
  </si>
  <si>
    <t>Knowledge of Pregnancy Danger Signs</t>
  </si>
  <si>
    <t>Knowledge of Labor Danger Signs</t>
  </si>
  <si>
    <t>Knowledge of Postpartum Danger Signs</t>
  </si>
  <si>
    <t>Overall BPCR Knowledge</t>
  </si>
  <si>
    <t>Overall BPCR Practice</t>
  </si>
  <si>
    <t>Missing</t>
  </si>
  <si>
    <t>Max</t>
  </si>
  <si>
    <t>Min</t>
  </si>
  <si>
    <t>SD</t>
  </si>
  <si>
    <t>Sum</t>
  </si>
  <si>
    <t>Decriptive Analys -Age</t>
  </si>
  <si>
    <t>n</t>
  </si>
  <si>
    <t>Mode</t>
  </si>
  <si>
    <t>Median</t>
  </si>
  <si>
    <t>Mean</t>
  </si>
  <si>
    <t>N</t>
  </si>
  <si>
    <t>Decriptive Analys -Income</t>
  </si>
  <si>
    <t>Grand Total</t>
  </si>
  <si>
    <t>percentage%</t>
  </si>
  <si>
    <t>Percentage%</t>
  </si>
  <si>
    <t>Independent Variable (IV)</t>
  </si>
  <si>
    <t>Dependent Variable (DV)</t>
  </si>
  <si>
    <t>Count of Overall BPCR Knowledge</t>
  </si>
  <si>
    <t xml:space="preserve"> Overall BPCR Knowledge</t>
  </si>
  <si>
    <t>Not Prepared Total</t>
  </si>
  <si>
    <t>Prepared Total</t>
  </si>
  <si>
    <t>Count of Overall BPCR Practice</t>
  </si>
  <si>
    <t>Count of BPCR Health Education</t>
  </si>
  <si>
    <t>Knowledgeable Total</t>
  </si>
  <si>
    <t>Not knowledgeable Total</t>
  </si>
  <si>
    <t>No Formal Education Total</t>
  </si>
  <si>
    <t>Primary Education Total</t>
  </si>
  <si>
    <t>Secondary Education Total</t>
  </si>
  <si>
    <t>Tertiary Education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</si>
</sst>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0.0"/>
    <numFmt numFmtId="166"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6" tint="0.79998168889431442"/>
        <bgColor theme="6" tint="0.79998168889431442"/>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6" tint="-0.249977111117893"/>
        <bgColor indexed="64"/>
      </patternFill>
    </fill>
    <fill>
      <patternFill patternType="solid">
        <fgColor theme="4"/>
        <bgColor indexed="64"/>
      </patternFill>
    </fill>
    <fill>
      <patternFill patternType="solid">
        <fgColor theme="4" tint="-0.249977111117893"/>
        <bgColor indexed="64"/>
      </patternFill>
    </fill>
  </fills>
  <borders count="9">
    <border>
      <left/>
      <right/>
      <top/>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bottom style="thin">
        <color theme="6" tint="0.39997558519241921"/>
      </bottom>
      <diagonal/>
    </border>
    <border>
      <left/>
      <right/>
      <top/>
      <bottom style="thin">
        <color theme="0"/>
      </bottom>
      <diagonal/>
    </border>
  </borders>
  <cellStyleXfs count="2">
    <xf numFmtId="0" fontId="0" fillId="0" borderId="0"/>
    <xf numFmtId="44" fontId="1" fillId="0" borderId="0" applyFont="0" applyFill="0" applyBorder="0" applyAlignment="0" applyProtection="0"/>
  </cellStyleXfs>
  <cellXfs count="28">
    <xf numFmtId="0" fontId="0" fillId="0" borderId="0" xfId="0"/>
    <xf numFmtId="164" fontId="0" fillId="0" borderId="0" xfId="1" applyNumberFormat="1" applyFont="1"/>
    <xf numFmtId="0" fontId="0" fillId="2" borderId="1" xfId="0" applyFill="1" applyBorder="1"/>
    <xf numFmtId="0" fontId="0" fillId="0" borderId="1" xfId="0" applyBorder="1"/>
    <xf numFmtId="0" fontId="0" fillId="2" borderId="2" xfId="0" applyFill="1" applyBorder="1"/>
    <xf numFmtId="0" fontId="0" fillId="0" borderId="2" xfId="0" applyBorder="1"/>
    <xf numFmtId="0" fontId="0" fillId="3" borderId="3" xfId="0" applyFill="1" applyBorder="1"/>
    <xf numFmtId="0" fontId="0" fillId="3" borderId="4" xfId="0" applyFill="1" applyBorder="1"/>
    <xf numFmtId="0" fontId="0" fillId="4" borderId="3" xfId="0" applyFill="1" applyBorder="1"/>
    <xf numFmtId="0" fontId="0" fillId="4" borderId="4" xfId="0" applyFill="1" applyBorder="1"/>
    <xf numFmtId="0" fontId="0" fillId="3" borderId="5" xfId="0" applyFill="1" applyBorder="1"/>
    <xf numFmtId="165" fontId="0" fillId="0" borderId="2" xfId="0" applyNumberFormat="1" applyBorder="1"/>
    <xf numFmtId="165" fontId="0" fillId="2" borderId="2" xfId="0" applyNumberFormat="1" applyFill="1" applyBorder="1"/>
    <xf numFmtId="164" fontId="0" fillId="3" borderId="4" xfId="0" applyNumberFormat="1" applyFill="1" applyBorder="1"/>
    <xf numFmtId="2" fontId="0" fillId="3" borderId="6" xfId="0" applyNumberFormat="1" applyFill="1" applyBorder="1"/>
    <xf numFmtId="0" fontId="0" fillId="0" borderId="0" xfId="0" pivotButton="1"/>
    <xf numFmtId="10"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0" fillId="5" borderId="7" xfId="0" applyFill="1" applyBorder="1" applyAlignment="1">
      <alignment horizontal="center"/>
    </xf>
    <xf numFmtId="0" fontId="0" fillId="6" borderId="8" xfId="0" applyFill="1" applyBorder="1" applyAlignment="1">
      <alignment horizontal="center"/>
    </xf>
    <xf numFmtId="0" fontId="0" fillId="0" borderId="0" xfId="0" applyAlignment="1">
      <alignment horizontal="center"/>
    </xf>
    <xf numFmtId="0" fontId="0" fillId="0" borderId="0" xfId="0" applyNumberFormat="1"/>
    <xf numFmtId="166" fontId="0" fillId="0" borderId="0" xfId="0" applyNumberFormat="1"/>
    <xf numFmtId="9" fontId="0" fillId="0" borderId="0" xfId="0" applyNumberFormat="1"/>
    <xf numFmtId="164" fontId="0" fillId="0" borderId="0" xfId="0" applyNumberFormat="1"/>
    <xf numFmtId="0" fontId="0" fillId="7" borderId="0" xfId="0" applyFill="1"/>
  </cellXfs>
  <cellStyles count="2">
    <cellStyle name="Currency" xfId="1" builtinId="4"/>
    <cellStyle name="Normal" xfId="0" builtinId="0"/>
  </cellStyles>
  <dxfs count="522">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3" formatCode="0%"/>
    </dxf>
    <dxf>
      <numFmt numFmtId="13" formatCode="0%"/>
    </dxf>
    <dxf>
      <numFmt numFmtId="13" formatCode="0%"/>
    </dxf>
    <dxf>
      <numFmt numFmtId="13" formatCode="0%"/>
    </dxf>
    <dxf>
      <numFmt numFmtId="13" formatCode="0%"/>
    </dxf>
    <dxf>
      <numFmt numFmtId="166" formatCode="0.0%"/>
    </dxf>
    <dxf>
      <numFmt numFmtId="166" formatCode="0.0%"/>
    </dxf>
    <dxf>
      <numFmt numFmtId="14" formatCode="0.00%"/>
    </dxf>
    <dxf>
      <numFmt numFmtId="166" formatCode="0.0%"/>
    </dxf>
    <dxf>
      <numFmt numFmtId="166" formatCode="0.0%"/>
    </dxf>
    <dxf>
      <numFmt numFmtId="166" formatCode="0.0%"/>
    </dxf>
    <dxf>
      <numFmt numFmtId="14" formatCode="0.00%"/>
    </dxf>
    <dxf>
      <numFmt numFmtId="166" formatCode="0.0%"/>
    </dxf>
    <dxf>
      <numFmt numFmtId="166" formatCode="0.0%"/>
    </dxf>
    <dxf>
      <numFmt numFmtId="166" formatCode="0.0%"/>
    </dxf>
    <dxf>
      <numFmt numFmtId="14" formatCode="0.0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quot;$&quot;* #,##0_);_(&quot;$&quot;* \(#,##0\);_(&quot;$&quot;* &quot;-&quot;??_);_(@_)"/>
    </dxf>
    <dxf>
      <numFmt numFmtId="0" formatCode="General"/>
    </dxf>
    <dxf>
      <numFmt numFmtId="0" formatCode="General"/>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No Formal Education</c:v>
              </c:pt>
              <c:pt idx="1">
                <c:v>Primary Education</c:v>
              </c:pt>
              <c:pt idx="2">
                <c:v>Secondary Education</c:v>
              </c:pt>
              <c:pt idx="3">
                <c:v>Tertiary Education</c:v>
              </c:pt>
            </c:strLit>
          </c:cat>
          <c:val>
            <c:numLit>
              <c:formatCode>General</c:formatCode>
              <c:ptCount val="4"/>
              <c:pt idx="0">
                <c:v>46</c:v>
              </c:pt>
              <c:pt idx="1">
                <c:v>95</c:v>
              </c:pt>
              <c:pt idx="2">
                <c:v>87</c:v>
              </c:pt>
              <c:pt idx="3">
                <c:v>72</c:v>
              </c:pt>
            </c:numLit>
          </c:val>
          <c:extLst>
            <c:ext xmlns:c16="http://schemas.microsoft.com/office/drawing/2014/chart" uri="{C3380CC4-5D6E-409C-BE32-E72D297353CC}">
              <c16:uniqueId val="{00000000-9C31-402C-A126-9092CE03E5BC}"/>
            </c:ext>
          </c:extLst>
        </c:ser>
        <c:dLbls>
          <c:showLegendKey val="0"/>
          <c:showVal val="0"/>
          <c:showCatName val="0"/>
          <c:showSerName val="0"/>
          <c:showPercent val="0"/>
          <c:showBubbleSize val="0"/>
        </c:dLbls>
        <c:gapWidth val="150"/>
        <c:axId val="865926064"/>
        <c:axId val="346879440"/>
      </c:barChart>
      <c:catAx>
        <c:axId val="86592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879440"/>
        <c:crosses val="autoZero"/>
        <c:auto val="1"/>
        <c:lblAlgn val="ctr"/>
        <c:lblOffset val="100"/>
        <c:noMultiLvlLbl val="0"/>
      </c:catAx>
      <c:valAx>
        <c:axId val="346879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92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BPCR .xlsx]Pivot!PivotTable5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a:solidFill>
                  <a:schemeClr val="tx2"/>
                </a:solidFill>
                <a:latin typeface="Times" panose="020B0500000000000000" pitchFamily="34" charset="0"/>
                <a:ea typeface="Times" panose="020B0500000000000000" pitchFamily="34" charset="0"/>
                <a:cs typeface="Times" panose="020B0500000000000000" pitchFamily="34" charset="0"/>
              </a:rPr>
              <a:t>BPCR Health Education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200" b="1">
                <a:solidFill>
                  <a:schemeClr val="tx2"/>
                </a:solidFill>
                <a:latin typeface="Times" panose="020B0500000000000000" pitchFamily="34" charset="0"/>
                <a:ea typeface="Times" panose="020B0500000000000000" pitchFamily="34" charset="0"/>
                <a:cs typeface="Times" panose="020B0500000000000000" pitchFamily="34" charset="0"/>
              </a:rPr>
              <a:t>by</a:t>
            </a:r>
            <a:r>
              <a:rPr lang="en-US" sz="1200" b="1" baseline="0">
                <a:solidFill>
                  <a:schemeClr val="tx2"/>
                </a:solidFill>
              </a:rPr>
              <a:t> </a:t>
            </a:r>
            <a:r>
              <a:rPr lang="en-US" sz="1200" b="1">
                <a:solidFill>
                  <a:schemeClr val="tx2"/>
                </a:solidFill>
              </a:rPr>
              <a:t> BPCR Knowledge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baseline="0"/>
              <a:t> </a:t>
            </a:r>
            <a:endParaRPr lang="en-US"/>
          </a:p>
        </c:rich>
      </c:tx>
      <c:layout>
        <c:manualLayout>
          <c:xMode val="edge"/>
          <c:yMode val="edge"/>
          <c:x val="0.18722845556545614"/>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c:spPr>
      </c:pivotFmt>
      <c:pivotFmt>
        <c:idx val="7"/>
        <c:spPr>
          <a:solidFill>
            <a:schemeClr val="accent1"/>
          </a:solidFill>
          <a:ln w="25400">
            <a:solidFill>
              <a:schemeClr val="lt1"/>
            </a:solidFill>
          </a:ln>
          <a:effectLst/>
        </c:spPr>
      </c:pivotFmt>
      <c:pivotFmt>
        <c:idx val="8"/>
        <c:spPr>
          <a:solidFill>
            <a:schemeClr val="accent1"/>
          </a:solidFill>
          <a:ln w="25400">
            <a:solidFill>
              <a:schemeClr val="lt1"/>
            </a:solidFill>
          </a:ln>
          <a:effectLst/>
        </c:spPr>
      </c:pivotFmt>
      <c:pivotFmt>
        <c:idx val="9"/>
        <c:spPr>
          <a:solidFill>
            <a:schemeClr val="accent1"/>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c:spPr>
      </c:pivotFmt>
      <c:pivotFmt>
        <c:idx val="11"/>
        <c:spPr>
          <a:solidFill>
            <a:schemeClr val="accent1"/>
          </a:solidFill>
          <a:ln w="25400">
            <a:solidFill>
              <a:schemeClr val="lt1"/>
            </a:solidFill>
          </a:ln>
          <a:effectLst/>
        </c:spPr>
      </c:pivotFmt>
      <c:pivotFmt>
        <c:idx val="12"/>
        <c:spPr>
          <a:solidFill>
            <a:schemeClr val="accent1"/>
          </a:solidFill>
          <a:ln w="25400">
            <a:solidFill>
              <a:schemeClr val="lt1"/>
            </a:solidFill>
          </a:ln>
          <a:effectLst/>
        </c:spPr>
      </c:pivotFmt>
      <c:pivotFmt>
        <c:idx val="13"/>
        <c:spPr>
          <a:solidFill>
            <a:schemeClr val="accent1"/>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c:spPr>
      </c:pivotFmt>
      <c:pivotFmt>
        <c:idx val="15"/>
        <c:spPr>
          <a:solidFill>
            <a:schemeClr val="accent1"/>
          </a:solidFill>
          <a:ln w="25400">
            <a:solidFill>
              <a:schemeClr val="lt1"/>
            </a:solidFill>
          </a:ln>
          <a:effectLst/>
        </c:spPr>
      </c:pivotFmt>
      <c:pivotFmt>
        <c:idx val="16"/>
        <c:spPr>
          <a:solidFill>
            <a:schemeClr val="accent1"/>
          </a:solidFill>
          <a:ln w="2540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Pivot!$AG$3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multiLvlStrRef>
              <c:f>Pivot!$AE$4:$AF$12</c:f>
              <c:multiLvlStrCache>
                <c:ptCount val="6"/>
                <c:lvl>
                  <c:pt idx="0">
                    <c:v>Missing</c:v>
                  </c:pt>
                  <c:pt idx="1">
                    <c:v>Not at all</c:v>
                  </c:pt>
                  <c:pt idx="2">
                    <c:v>Yes</c:v>
                  </c:pt>
                  <c:pt idx="3">
                    <c:v>Missing</c:v>
                  </c:pt>
                  <c:pt idx="4">
                    <c:v>Not at all</c:v>
                  </c:pt>
                  <c:pt idx="5">
                    <c:v>Yes</c:v>
                  </c:pt>
                </c:lvl>
                <c:lvl>
                  <c:pt idx="0">
                    <c:v>Knowledgeable</c:v>
                  </c:pt>
                  <c:pt idx="3">
                    <c:v>Not knowledgeable</c:v>
                  </c:pt>
                </c:lvl>
              </c:multiLvlStrCache>
            </c:multiLvlStrRef>
          </c:cat>
          <c:val>
            <c:numRef>
              <c:f>Pivot!$AG$4:$AG$12</c:f>
              <c:numCache>
                <c:formatCode>0.0%</c:formatCode>
                <c:ptCount val="6"/>
                <c:pt idx="0">
                  <c:v>3.3333333333333333E-2</c:v>
                </c:pt>
                <c:pt idx="1">
                  <c:v>0.15</c:v>
                </c:pt>
                <c:pt idx="2">
                  <c:v>0.2</c:v>
                </c:pt>
                <c:pt idx="3">
                  <c:v>0.14000000000000001</c:v>
                </c:pt>
                <c:pt idx="4">
                  <c:v>0.35333333333333333</c:v>
                </c:pt>
                <c:pt idx="5">
                  <c:v>0.12333333333333334</c:v>
                </c:pt>
              </c:numCache>
            </c:numRef>
          </c:val>
          <c:extLst>
            <c:ext xmlns:c16="http://schemas.microsoft.com/office/drawing/2014/chart" uri="{C3380CC4-5D6E-409C-BE32-E72D297353CC}">
              <c16:uniqueId val="{00000007-7CA3-4978-BE39-014641D87B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BPCR .xlsx]Pivot!PivotTable5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Health Education by  BPCR Knowledge</a:t>
            </a:r>
            <a:r>
              <a:rPr lang="en-US" sz="1100" b="1" baseline="0"/>
              <a:t> </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Pivot!$AG$3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Pivot!$AE$4:$AF$12</c:f>
              <c:multiLvlStrCache>
                <c:ptCount val="6"/>
                <c:lvl>
                  <c:pt idx="0">
                    <c:v>Missing</c:v>
                  </c:pt>
                  <c:pt idx="1">
                    <c:v>Not at all</c:v>
                  </c:pt>
                  <c:pt idx="2">
                    <c:v>Yes</c:v>
                  </c:pt>
                  <c:pt idx="3">
                    <c:v>Missing</c:v>
                  </c:pt>
                  <c:pt idx="4">
                    <c:v>Not at all</c:v>
                  </c:pt>
                  <c:pt idx="5">
                    <c:v>Yes</c:v>
                  </c:pt>
                </c:lvl>
                <c:lvl>
                  <c:pt idx="0">
                    <c:v>Knowledgeable</c:v>
                  </c:pt>
                  <c:pt idx="3">
                    <c:v>Not knowledgeable</c:v>
                  </c:pt>
                </c:lvl>
              </c:multiLvlStrCache>
            </c:multiLvlStrRef>
          </c:cat>
          <c:val>
            <c:numRef>
              <c:f>Pivot!$AG$4:$AG$12</c:f>
              <c:numCache>
                <c:formatCode>0.0%</c:formatCode>
                <c:ptCount val="6"/>
                <c:pt idx="0">
                  <c:v>3.3333333333333333E-2</c:v>
                </c:pt>
                <c:pt idx="1">
                  <c:v>0.15</c:v>
                </c:pt>
                <c:pt idx="2">
                  <c:v>0.2</c:v>
                </c:pt>
                <c:pt idx="3">
                  <c:v>0.14000000000000001</c:v>
                </c:pt>
                <c:pt idx="4">
                  <c:v>0.35333333333333333</c:v>
                </c:pt>
                <c:pt idx="5">
                  <c:v>0.12333333333333334</c:v>
                </c:pt>
              </c:numCache>
            </c:numRef>
          </c:val>
          <c:extLst>
            <c:ext xmlns:c16="http://schemas.microsoft.com/office/drawing/2014/chart" uri="{C3380CC4-5D6E-409C-BE32-E72D297353CC}">
              <c16:uniqueId val="{00000000-C829-41E0-A998-6EC606E8F7C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BPCR .xlsx]Pivot!PivotTable30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rPr>
              <a:t>Education Level by BPCR Knowledge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Pivot!$V$3</c:f>
              <c:strCache>
                <c:ptCount val="1"/>
                <c:pt idx="0">
                  <c:v>Total</c:v>
                </c:pt>
              </c:strCache>
            </c:strRef>
          </c:tx>
          <c:spPr>
            <a:solidFill>
              <a:schemeClr val="tx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Pivot!$T$4:$U$16</c:f>
              <c:multiLvlStrCache>
                <c:ptCount val="8"/>
                <c:lvl>
                  <c:pt idx="0">
                    <c:v>Knowledgeable</c:v>
                  </c:pt>
                  <c:pt idx="1">
                    <c:v>Not knowledgeable</c:v>
                  </c:pt>
                  <c:pt idx="2">
                    <c:v>Knowledgeable</c:v>
                  </c:pt>
                  <c:pt idx="3">
                    <c:v>Not knowledgeable</c:v>
                  </c:pt>
                  <c:pt idx="4">
                    <c:v>Knowledgeable</c:v>
                  </c:pt>
                  <c:pt idx="5">
                    <c:v>Not knowledgeable</c:v>
                  </c:pt>
                  <c:pt idx="6">
                    <c:v>Knowledgeable</c:v>
                  </c:pt>
                  <c:pt idx="7">
                    <c:v>Not knowledgeable</c:v>
                  </c:pt>
                </c:lvl>
                <c:lvl>
                  <c:pt idx="0">
                    <c:v>No Formal Education</c:v>
                  </c:pt>
                  <c:pt idx="2">
                    <c:v>Primary Education</c:v>
                  </c:pt>
                  <c:pt idx="4">
                    <c:v>Secondary Education</c:v>
                  </c:pt>
                  <c:pt idx="6">
                    <c:v>Tertiary Education</c:v>
                  </c:pt>
                </c:lvl>
              </c:multiLvlStrCache>
            </c:multiLvlStrRef>
          </c:cat>
          <c:val>
            <c:numRef>
              <c:f>Pivot!$V$4:$V$16</c:f>
              <c:numCache>
                <c:formatCode>General</c:formatCode>
                <c:ptCount val="8"/>
                <c:pt idx="0">
                  <c:v>3.6666666666666667E-2</c:v>
                </c:pt>
                <c:pt idx="1">
                  <c:v>0.11666666666666667</c:v>
                </c:pt>
                <c:pt idx="2">
                  <c:v>9.3333333333333338E-2</c:v>
                </c:pt>
                <c:pt idx="3">
                  <c:v>0.22333333333333333</c:v>
                </c:pt>
                <c:pt idx="4">
                  <c:v>0.12333333333333334</c:v>
                </c:pt>
                <c:pt idx="5">
                  <c:v>0.16666666666666666</c:v>
                </c:pt>
                <c:pt idx="6">
                  <c:v>0.13</c:v>
                </c:pt>
                <c:pt idx="7">
                  <c:v>0.11</c:v>
                </c:pt>
              </c:numCache>
            </c:numRef>
          </c:val>
          <c:extLst>
            <c:ext xmlns:c16="http://schemas.microsoft.com/office/drawing/2014/chart" uri="{C3380CC4-5D6E-409C-BE32-E72D297353CC}">
              <c16:uniqueId val="{00000000-160A-488D-85D9-4B4F7288D6C2}"/>
            </c:ext>
          </c:extLst>
        </c:ser>
        <c:dLbls>
          <c:dLblPos val="inEnd"/>
          <c:showLegendKey val="0"/>
          <c:showVal val="1"/>
          <c:showCatName val="0"/>
          <c:showSerName val="0"/>
          <c:showPercent val="0"/>
          <c:showBubbleSize val="0"/>
        </c:dLbls>
        <c:gapWidth val="150"/>
        <c:overlap val="100"/>
        <c:axId val="1640169920"/>
        <c:axId val="346906800"/>
      </c:barChart>
      <c:catAx>
        <c:axId val="164016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2">
                    <a:lumMod val="75000"/>
                  </a:schemeClr>
                </a:solidFill>
                <a:latin typeface="+mn-lt"/>
                <a:ea typeface="+mn-ea"/>
                <a:cs typeface="+mn-cs"/>
              </a:defRPr>
            </a:pPr>
            <a:endParaRPr lang="en-US"/>
          </a:p>
        </c:txPr>
        <c:crossAx val="346906800"/>
        <c:crosses val="autoZero"/>
        <c:auto val="1"/>
        <c:lblAlgn val="ctr"/>
        <c:lblOffset val="100"/>
        <c:noMultiLvlLbl val="0"/>
      </c:catAx>
      <c:valAx>
        <c:axId val="346906800"/>
        <c:scaling>
          <c:orientation val="minMax"/>
        </c:scaling>
        <c:delete val="1"/>
        <c:axPos val="b"/>
        <c:numFmt formatCode="General" sourceLinked="1"/>
        <c:majorTickMark val="none"/>
        <c:minorTickMark val="none"/>
        <c:tickLblPos val="nextTo"/>
        <c:crossAx val="164016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BPCR .xlsx]Pivot!PivotTable4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2"/>
                </a:solidFill>
              </a:rPr>
              <a:t>Income by BPCR</a:t>
            </a:r>
            <a:r>
              <a:rPr lang="en-US" sz="1100" b="1" baseline="0">
                <a:solidFill>
                  <a:schemeClr val="tx2"/>
                </a:solidFill>
              </a:rPr>
              <a:t> Knowledge</a:t>
            </a:r>
            <a:endParaRPr lang="en-US" sz="11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dLbl>
          <c:idx val="0"/>
          <c:layout>
            <c:manualLayout>
              <c:x val="-2.5462668816039986E-17"/>
              <c:y val="-0.13726341498979303"/>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dLbl>
          <c:idx val="0"/>
          <c:layout>
            <c:manualLayout>
              <c:x val="3.5842293906807217E-4"/>
              <c:y val="-7.3401501895596383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5397849462365582E-2"/>
                  <c:h val="7.3240740740740745E-2"/>
                </c:manualLayout>
              </c15:layout>
            </c:ext>
          </c:extLst>
        </c:dLbl>
      </c:pivotFmt>
      <c:pivotFmt>
        <c:idx val="3"/>
        <c:spPr>
          <a:solidFill>
            <a:srgbClr val="FFC000"/>
          </a:solidFill>
          <a:ln>
            <a:noFill/>
          </a:ln>
          <a:effectLst/>
        </c:spPr>
        <c:dLbl>
          <c:idx val="0"/>
          <c:layout>
            <c:manualLayout>
              <c:x val="-2.5462668816039986E-17"/>
              <c:y val="-7.871172353455827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dLbl>
          <c:idx val="0"/>
          <c:layout>
            <c:manualLayout>
              <c:x val="0"/>
              <c:y val="-8.7154418197725278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dLbl>
          <c:idx val="0"/>
          <c:layout>
            <c:manualLayout>
              <c:x val="8.3333333333333332E-3"/>
              <c:y val="-9.19200204141149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layout>
            <c:manualLayout>
              <c:x val="2.7777777777777267E-3"/>
              <c:y val="-0.12323855351414406"/>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dLbl>
          <c:idx val="0"/>
          <c:layout>
            <c:manualLayout>
              <c:x val="8.512544802867332E-3"/>
              <c:y val="-0.1104385389326334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3928315412186378E-2"/>
                  <c:h val="7.3240740740740745E-2"/>
                </c:manualLayout>
              </c15:layout>
            </c:ext>
          </c:extLst>
        </c:dLbl>
      </c:pivotFmt>
      <c:pivotFmt>
        <c:idx val="8"/>
        <c:spPr>
          <a:solidFill>
            <a:srgbClr val="FFC000"/>
          </a:solidFill>
          <a:ln>
            <a:noFill/>
          </a:ln>
          <a:effectLst/>
        </c:spPr>
        <c:dLbl>
          <c:idx val="0"/>
          <c:layout>
            <c:manualLayout>
              <c:x val="5.7348799142042731E-3"/>
              <c:y val="-5.5365266841644792E-2"/>
            </c:manualLayout>
          </c:layout>
          <c:numFmt formatCode="0%" sourceLinked="0"/>
          <c:spPr>
            <a:solidFill>
              <a:srgbClr val="002060"/>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2555555555555555E-2"/>
                  <c:h val="7.3240740740740745E-2"/>
                </c:manualLayout>
              </c15:layout>
            </c:ext>
          </c:extLst>
        </c:dLbl>
      </c:pivotFmt>
      <c:pivotFmt>
        <c:idx val="9"/>
        <c:spPr>
          <a:solidFill>
            <a:srgbClr val="FFC000"/>
          </a:solidFill>
          <a:ln>
            <a:noFill/>
          </a:ln>
          <a:effectLst/>
        </c:spPr>
        <c:dLbl>
          <c:idx val="0"/>
          <c:layout>
            <c:manualLayout>
              <c:x val="5.0925337632079971E-17"/>
              <c:y val="-0.11016622922134733"/>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dLbl>
          <c:idx val="0"/>
          <c:layout>
            <c:manualLayout>
              <c:x val="1.1559168007224851E-2"/>
              <c:y val="-0.12827646544181978"/>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dLbl>
          <c:idx val="0"/>
          <c:layout>
            <c:manualLayout>
              <c:x val="-2.777749555499111E-3"/>
              <c:y val="-6.9452464275298914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a:noFill/>
          </a:ln>
          <a:effectLst/>
        </c:spPr>
        <c:dLbl>
          <c:idx val="0"/>
          <c:layout>
            <c:manualLayout>
              <c:x val="0"/>
              <c:y val="-0.27572214931466899"/>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dLbl>
          <c:idx val="0"/>
          <c:layout>
            <c:manualLayout>
              <c:x val="0"/>
              <c:y val="-0.14371026538349374"/>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dLbl>
          <c:idx val="0"/>
          <c:layout>
            <c:manualLayout>
              <c:x val="2.8673835125448029E-3"/>
              <c:y val="-0.10849372995042286"/>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solidFill>
          <a:ln>
            <a:noFill/>
          </a:ln>
          <a:effectLst/>
        </c:spPr>
        <c:dLbl>
          <c:idx val="0"/>
          <c:layout>
            <c:manualLayout>
              <c:x val="0"/>
              <c:y val="-0.10808909303003791"/>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solidFill>
          <a:ln>
            <a:noFill/>
          </a:ln>
          <a:effectLst/>
        </c:spPr>
        <c:dLbl>
          <c:idx val="0"/>
          <c:layout>
            <c:manualLayout>
              <c:x val="2.8673835125446979E-3"/>
              <c:y val="-6.7838291046952465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dLbl>
          <c:idx val="0"/>
          <c:layout>
            <c:manualLayout>
              <c:x val="-2.1027236183568505E-16"/>
              <c:y val="-0.13667614464858568"/>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C000"/>
          </a:solidFill>
          <a:ln>
            <a:noFill/>
          </a:ln>
          <a:effectLst/>
        </c:spPr>
        <c:dLbl>
          <c:idx val="0"/>
          <c:layout>
            <c:manualLayout>
              <c:x val="2.8673835125448029E-3"/>
              <c:y val="-7.1659011373578385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000"/>
          </a:solidFill>
          <a:ln>
            <a:noFill/>
          </a:ln>
          <a:effectLst/>
        </c:spPr>
        <c:dLbl>
          <c:idx val="0"/>
          <c:layout>
            <c:manualLayout>
              <c:x val="1.1469534050179106E-2"/>
              <c:y val="-5.9185987168270719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000"/>
          </a:solidFill>
          <a:ln>
            <a:noFill/>
          </a:ln>
          <a:effectLst/>
        </c:spPr>
        <c:dLbl>
          <c:idx val="0"/>
          <c:layout>
            <c:manualLayout>
              <c:x val="0"/>
              <c:y val="-7.8311096529600555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C000"/>
          </a:solidFill>
          <a:ln>
            <a:noFill/>
          </a:ln>
          <a:effectLst/>
        </c:spPr>
        <c:dLbl>
          <c:idx val="0"/>
          <c:layout>
            <c:manualLayout>
              <c:x val="1.1469534050179106E-2"/>
              <c:y val="-9.2199985418489436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C000"/>
          </a:solidFill>
          <a:ln>
            <a:noFill/>
          </a:ln>
          <a:effectLst/>
        </c:spPr>
        <c:dLbl>
          <c:idx val="0"/>
          <c:layout>
            <c:manualLayout>
              <c:x val="0"/>
              <c:y val="-8.6761446485855931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C000"/>
          </a:solidFill>
          <a:ln>
            <a:noFill/>
          </a:ln>
          <a:effectLst/>
        </c:spPr>
        <c:dLbl>
          <c:idx val="0"/>
          <c:layout>
            <c:manualLayout>
              <c:x val="0"/>
              <c:y val="-9.2402303878681827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C000"/>
          </a:solidFill>
          <a:ln>
            <a:noFill/>
          </a:ln>
          <a:effectLst/>
        </c:spPr>
        <c:dLbl>
          <c:idx val="0"/>
          <c:layout>
            <c:manualLayout>
              <c:x val="8.6021505376344086E-3"/>
              <c:y val="-6.8242927967337413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46583693167385E-4"/>
          <c:y val="2.8296198335552015E-2"/>
          <c:w val="0.91305993000874885"/>
          <c:h val="0.67994622731920162"/>
        </c:manualLayout>
      </c:layout>
      <c:barChart>
        <c:barDir val="col"/>
        <c:grouping val="stacked"/>
        <c:varyColors val="0"/>
        <c:ser>
          <c:idx val="0"/>
          <c:order val="0"/>
          <c:tx>
            <c:strRef>
              <c:f>Pivot!$AC$3</c:f>
              <c:strCache>
                <c:ptCount val="1"/>
                <c:pt idx="0">
                  <c:v>Total</c:v>
                </c:pt>
              </c:strCache>
            </c:strRef>
          </c:tx>
          <c:spPr>
            <a:solidFill>
              <a:srgbClr val="FFC000"/>
            </a:solidFill>
            <a:ln>
              <a:noFill/>
            </a:ln>
            <a:effectLst/>
          </c:spPr>
          <c:invertIfNegative val="0"/>
          <c:dLbls>
            <c:dLbl>
              <c:idx val="0"/>
              <c:layout>
                <c:manualLayout>
                  <c:x val="3.5842293906807217E-4"/>
                  <c:y val="-7.3401501895596383E-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5.5397849462365582E-2"/>
                      <c:h val="7.3240740740740745E-2"/>
                    </c:manualLayout>
                  </c15:layout>
                </c:ext>
                <c:ext xmlns:c16="http://schemas.microsoft.com/office/drawing/2014/chart" uri="{C3380CC4-5D6E-409C-BE32-E72D297353CC}">
                  <c16:uniqueId val="{00000003-84D8-48E0-940A-0F1218ABB555}"/>
                </c:ext>
              </c:extLst>
            </c:dLbl>
            <c:dLbl>
              <c:idx val="1"/>
              <c:layout>
                <c:manualLayout>
                  <c:x val="-2.5462668816039986E-17"/>
                  <c:y val="-0.137263414989793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D8-48E0-940A-0F1218ABB555}"/>
                </c:ext>
              </c:extLst>
            </c:dLbl>
            <c:dLbl>
              <c:idx val="2"/>
              <c:layout>
                <c:manualLayout>
                  <c:x val="-2.5462668816039986E-17"/>
                  <c:y val="-7.8711723534558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D8-48E0-940A-0F1218ABB555}"/>
                </c:ext>
              </c:extLst>
            </c:dLbl>
            <c:dLbl>
              <c:idx val="3"/>
              <c:layout>
                <c:manualLayout>
                  <c:x val="0"/>
                  <c:y val="-8.715441819772527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D8-48E0-940A-0F1218ABB555}"/>
                </c:ext>
              </c:extLst>
            </c:dLbl>
            <c:dLbl>
              <c:idx val="4"/>
              <c:layout>
                <c:manualLayout>
                  <c:x val="8.3333333333333332E-3"/>
                  <c:y val="-9.1920020414114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D8-48E0-940A-0F1218ABB555}"/>
                </c:ext>
              </c:extLst>
            </c:dLbl>
            <c:dLbl>
              <c:idx val="5"/>
              <c:layout>
                <c:manualLayout>
                  <c:x val="2.7777777777777267E-3"/>
                  <c:y val="-0.123238553514144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D8-48E0-940A-0F1218ABB555}"/>
                </c:ext>
              </c:extLst>
            </c:dLbl>
            <c:dLbl>
              <c:idx val="6"/>
              <c:layout>
                <c:manualLayout>
                  <c:x val="8.512544802867332E-3"/>
                  <c:y val="-0.1104385389326334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4.3928315412186378E-2"/>
                      <c:h val="7.3240740740740745E-2"/>
                    </c:manualLayout>
                  </c15:layout>
                </c:ext>
                <c:ext xmlns:c16="http://schemas.microsoft.com/office/drawing/2014/chart" uri="{C3380CC4-5D6E-409C-BE32-E72D297353CC}">
                  <c16:uniqueId val="{00000008-84D8-48E0-940A-0F1218ABB555}"/>
                </c:ext>
              </c:extLst>
            </c:dLbl>
            <c:dLbl>
              <c:idx val="7"/>
              <c:layout>
                <c:manualLayout>
                  <c:x val="5.7348799142042731E-3"/>
                  <c:y val="-5.5365266841644792E-2"/>
                </c:manualLayout>
              </c:layout>
              <c:numFmt formatCode="0%" sourceLinked="0"/>
              <c:spPr>
                <a:solidFill>
                  <a:srgbClr val="002060"/>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2555555555555555E-2"/>
                      <c:h val="7.3240740740740745E-2"/>
                    </c:manualLayout>
                  </c15:layout>
                </c:ext>
                <c:ext xmlns:c16="http://schemas.microsoft.com/office/drawing/2014/chart" uri="{C3380CC4-5D6E-409C-BE32-E72D297353CC}">
                  <c16:uniqueId val="{00000009-84D8-48E0-940A-0F1218ABB555}"/>
                </c:ext>
              </c:extLst>
            </c:dLbl>
            <c:dLbl>
              <c:idx val="8"/>
              <c:layout>
                <c:manualLayout>
                  <c:x val="5.0925337632079971E-17"/>
                  <c:y val="-0.1101662292213473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4D8-48E0-940A-0F1218ABB555}"/>
                </c:ext>
              </c:extLst>
            </c:dLbl>
            <c:dLbl>
              <c:idx val="9"/>
              <c:layout>
                <c:manualLayout>
                  <c:x val="1.1559168007224851E-2"/>
                  <c:y val="-0.128276465441819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4D8-48E0-940A-0F1218ABB555}"/>
                </c:ext>
              </c:extLst>
            </c:dLbl>
            <c:dLbl>
              <c:idx val="10"/>
              <c:layout>
                <c:manualLayout>
                  <c:x val="-2.777749555499111E-3"/>
                  <c:y val="-6.945246427529891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4D8-48E0-940A-0F1218ABB555}"/>
                </c:ext>
              </c:extLst>
            </c:dLbl>
            <c:dLbl>
              <c:idx val="11"/>
              <c:layout>
                <c:manualLayout>
                  <c:x val="8.6021505376344086E-3"/>
                  <c:y val="-6.824292796733741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84D8-48E0-940A-0F1218ABB555}"/>
                </c:ext>
              </c:extLst>
            </c:dLbl>
            <c:dLbl>
              <c:idx val="12"/>
              <c:layout>
                <c:manualLayout>
                  <c:x val="0"/>
                  <c:y val="-9.24023038786818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84D8-48E0-940A-0F1218ABB555}"/>
                </c:ext>
              </c:extLst>
            </c:dLbl>
            <c:dLbl>
              <c:idx val="13"/>
              <c:layout>
                <c:manualLayout>
                  <c:x val="0"/>
                  <c:y val="-8.676144648585593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84D8-48E0-940A-0F1218ABB555}"/>
                </c:ext>
              </c:extLst>
            </c:dLbl>
            <c:dLbl>
              <c:idx val="14"/>
              <c:layout>
                <c:manualLayout>
                  <c:x val="1.1469534050179106E-2"/>
                  <c:y val="-9.219998541848943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84D8-48E0-940A-0F1218ABB555}"/>
                </c:ext>
              </c:extLst>
            </c:dLbl>
            <c:dLbl>
              <c:idx val="15"/>
              <c:layout>
                <c:manualLayout>
                  <c:x val="0"/>
                  <c:y val="-0.143710265383493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4D8-48E0-940A-0F1218ABB555}"/>
                </c:ext>
              </c:extLst>
            </c:dLbl>
            <c:dLbl>
              <c:idx val="16"/>
              <c:layout>
                <c:manualLayout>
                  <c:x val="2.8673835125448029E-3"/>
                  <c:y val="-0.108493729950422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4D8-48E0-940A-0F1218ABB555}"/>
                </c:ext>
              </c:extLst>
            </c:dLbl>
            <c:dLbl>
              <c:idx val="17"/>
              <c:layout>
                <c:manualLayout>
                  <c:x val="0"/>
                  <c:y val="-0.275722149314668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4D8-48E0-940A-0F1218ABB555}"/>
                </c:ext>
              </c:extLst>
            </c:dLbl>
            <c:dLbl>
              <c:idx val="18"/>
              <c:layout>
                <c:manualLayout>
                  <c:x val="2.8673835125446979E-3"/>
                  <c:y val="-6.783829104695246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4D8-48E0-940A-0F1218ABB555}"/>
                </c:ext>
              </c:extLst>
            </c:dLbl>
            <c:dLbl>
              <c:idx val="19"/>
              <c:layout>
                <c:manualLayout>
                  <c:x val="0"/>
                  <c:y val="-0.108089093030037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4D8-48E0-940A-0F1218ABB555}"/>
                </c:ext>
              </c:extLst>
            </c:dLbl>
            <c:dLbl>
              <c:idx val="20"/>
              <c:layout>
                <c:manualLayout>
                  <c:x val="0"/>
                  <c:y val="-7.831109652960055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4D8-48E0-940A-0F1218ABB555}"/>
                </c:ext>
              </c:extLst>
            </c:dLbl>
            <c:dLbl>
              <c:idx val="21"/>
              <c:layout>
                <c:manualLayout>
                  <c:x val="1.1469534050179106E-2"/>
                  <c:y val="-5.918598716827071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84D8-48E0-940A-0F1218ABB555}"/>
                </c:ext>
              </c:extLst>
            </c:dLbl>
            <c:dLbl>
              <c:idx val="22"/>
              <c:layout>
                <c:manualLayout>
                  <c:x val="2.8673835125448029E-3"/>
                  <c:y val="-7.165901137357838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4D8-48E0-940A-0F1218ABB555}"/>
                </c:ext>
              </c:extLst>
            </c:dLbl>
            <c:dLbl>
              <c:idx val="23"/>
              <c:layout>
                <c:manualLayout>
                  <c:x val="-2.1027236183568505E-16"/>
                  <c:y val="-0.136676144648585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4D8-48E0-940A-0F1218ABB555}"/>
                </c:ext>
              </c:extLst>
            </c:dLbl>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Pivot!$AA$4:$AB$30</c:f>
              <c:multiLvlStrCache>
                <c:ptCount val="24"/>
                <c:lvl>
                  <c:pt idx="0">
                    <c:v> $200 </c:v>
                  </c:pt>
                  <c:pt idx="1">
                    <c:v> $300 </c:v>
                  </c:pt>
                  <c:pt idx="2">
                    <c:v> $350 </c:v>
                  </c:pt>
                  <c:pt idx="3">
                    <c:v> $400 </c:v>
                  </c:pt>
                  <c:pt idx="4">
                    <c:v> $450 </c:v>
                  </c:pt>
                  <c:pt idx="5">
                    <c:v> $500 </c:v>
                  </c:pt>
                  <c:pt idx="6">
                    <c:v> $600 </c:v>
                  </c:pt>
                  <c:pt idx="7">
                    <c:v> $700 </c:v>
                  </c:pt>
                  <c:pt idx="8">
                    <c:v> $800 </c:v>
                  </c:pt>
                  <c:pt idx="9">
                    <c:v> $1,000 </c:v>
                  </c:pt>
                  <c:pt idx="10">
                    <c:v> $1,200 </c:v>
                  </c:pt>
                  <c:pt idx="11">
                    <c:v> $1,500 </c:v>
                  </c:pt>
                  <c:pt idx="12">
                    <c:v> $1,600 </c:v>
                  </c:pt>
                  <c:pt idx="13">
                    <c:v> $150 </c:v>
                  </c:pt>
                  <c:pt idx="14">
                    <c:v> $180 </c:v>
                  </c:pt>
                  <c:pt idx="15">
                    <c:v> $200 </c:v>
                  </c:pt>
                  <c:pt idx="16">
                    <c:v> $250 </c:v>
                  </c:pt>
                  <c:pt idx="17">
                    <c:v> $300 </c:v>
                  </c:pt>
                  <c:pt idx="18">
                    <c:v> $350 </c:v>
                  </c:pt>
                  <c:pt idx="19">
                    <c:v> $400 </c:v>
                  </c:pt>
                  <c:pt idx="20">
                    <c:v> $450 </c:v>
                  </c:pt>
                  <c:pt idx="21">
                    <c:v> $500 </c:v>
                  </c:pt>
                  <c:pt idx="22">
                    <c:v> $600 </c:v>
                  </c:pt>
                  <c:pt idx="23">
                    <c:v> $800 </c:v>
                  </c:pt>
                </c:lvl>
                <c:lvl>
                  <c:pt idx="0">
                    <c:v>Knowledgeable</c:v>
                  </c:pt>
                  <c:pt idx="13">
                    <c:v>Not knowledgeable</c:v>
                  </c:pt>
                </c:lvl>
              </c:multiLvlStrCache>
            </c:multiLvlStrRef>
          </c:cat>
          <c:val>
            <c:numRef>
              <c:f>Pivot!$AC$4:$AC$30</c:f>
              <c:numCache>
                <c:formatCode>0.00%</c:formatCode>
                <c:ptCount val="24"/>
                <c:pt idx="0">
                  <c:v>2.8469750889679714E-2</c:v>
                </c:pt>
                <c:pt idx="1">
                  <c:v>5.3380782918149468E-2</c:v>
                </c:pt>
                <c:pt idx="2">
                  <c:v>1.0676156583629894E-2</c:v>
                </c:pt>
                <c:pt idx="3">
                  <c:v>3.2028469750889681E-2</c:v>
                </c:pt>
                <c:pt idx="4">
                  <c:v>2.8469750889679714E-2</c:v>
                </c:pt>
                <c:pt idx="5">
                  <c:v>5.6939501779359428E-2</c:v>
                </c:pt>
                <c:pt idx="6">
                  <c:v>2.8469750889679714E-2</c:v>
                </c:pt>
                <c:pt idx="7">
                  <c:v>1.0676156583629894E-2</c:v>
                </c:pt>
                <c:pt idx="8">
                  <c:v>3.5587188612099648E-2</c:v>
                </c:pt>
                <c:pt idx="9">
                  <c:v>4.6263345195729534E-2</c:v>
                </c:pt>
                <c:pt idx="10">
                  <c:v>1.0676156583629894E-2</c:v>
                </c:pt>
                <c:pt idx="11">
                  <c:v>2.8469750889679714E-2</c:v>
                </c:pt>
                <c:pt idx="12">
                  <c:v>1.0676156583629894E-2</c:v>
                </c:pt>
                <c:pt idx="13">
                  <c:v>2.8469750889679714E-2</c:v>
                </c:pt>
                <c:pt idx="14">
                  <c:v>1.4234875444839857E-2</c:v>
                </c:pt>
                <c:pt idx="15">
                  <c:v>8.5409252669039148E-2</c:v>
                </c:pt>
                <c:pt idx="16">
                  <c:v>5.3380782918149468E-2</c:v>
                </c:pt>
                <c:pt idx="17">
                  <c:v>0.20640569395017794</c:v>
                </c:pt>
                <c:pt idx="18">
                  <c:v>3.5587188612099648E-2</c:v>
                </c:pt>
                <c:pt idx="19">
                  <c:v>6.0498220640569395E-2</c:v>
                </c:pt>
                <c:pt idx="20">
                  <c:v>1.4234875444839857E-2</c:v>
                </c:pt>
                <c:pt idx="21">
                  <c:v>2.491103202846975E-2</c:v>
                </c:pt>
                <c:pt idx="22">
                  <c:v>4.9822064056939501E-2</c:v>
                </c:pt>
                <c:pt idx="23">
                  <c:v>4.6263345195729534E-2</c:v>
                </c:pt>
              </c:numCache>
            </c:numRef>
          </c:val>
          <c:extLst>
            <c:ext xmlns:c16="http://schemas.microsoft.com/office/drawing/2014/chart" uri="{C3380CC4-5D6E-409C-BE32-E72D297353CC}">
              <c16:uniqueId val="{00000000-84D8-48E0-940A-0F1218ABB555}"/>
            </c:ext>
          </c:extLst>
        </c:ser>
        <c:dLbls>
          <c:showLegendKey val="0"/>
          <c:showVal val="0"/>
          <c:showCatName val="0"/>
          <c:showSerName val="0"/>
          <c:showPercent val="0"/>
          <c:showBubbleSize val="0"/>
        </c:dLbls>
        <c:gapWidth val="150"/>
        <c:overlap val="100"/>
        <c:axId val="1640319792"/>
        <c:axId val="346864560"/>
      </c:barChart>
      <c:catAx>
        <c:axId val="164031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346864560"/>
        <c:crosses val="autoZero"/>
        <c:auto val="1"/>
        <c:lblAlgn val="ctr"/>
        <c:lblOffset val="100"/>
        <c:noMultiLvlLbl val="0"/>
      </c:catAx>
      <c:valAx>
        <c:axId val="346864560"/>
        <c:scaling>
          <c:orientation val="minMax"/>
        </c:scaling>
        <c:delete val="1"/>
        <c:axPos val="l"/>
        <c:numFmt formatCode="0.00%" sourceLinked="1"/>
        <c:majorTickMark val="none"/>
        <c:minorTickMark val="none"/>
        <c:tickLblPos val="nextTo"/>
        <c:crossAx val="164031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BPCR .xlsx]Pivot!PivotTable22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tx2"/>
                </a:solidFill>
                <a:latin typeface="Times" panose="020B0500000000000000" pitchFamily="34" charset="0"/>
                <a:ea typeface="Times" panose="020B0500000000000000" pitchFamily="34" charset="0"/>
                <a:cs typeface="Times" panose="020B0500000000000000" pitchFamily="34" charset="0"/>
              </a:rPr>
              <a:t>Ever Attended ANC by BPCR Practice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44444444444445E-2"/>
          <c:y val="0.13425925925925927"/>
          <c:w val="0.93888888888888888"/>
          <c:h val="0.70418270632837565"/>
        </c:manualLayout>
      </c:layout>
      <c:barChart>
        <c:barDir val="col"/>
        <c:grouping val="stacked"/>
        <c:varyColors val="0"/>
        <c:ser>
          <c:idx val="0"/>
          <c:order val="0"/>
          <c:tx>
            <c:strRef>
              <c:f>Pivot!$AW$2</c:f>
              <c:strCache>
                <c:ptCount val="1"/>
                <c:pt idx="0">
                  <c:v>Total</c:v>
                </c:pt>
              </c:strCache>
            </c:strRef>
          </c:tx>
          <c:spPr>
            <a:solidFill>
              <a:schemeClr val="accent5"/>
            </a:solidFill>
            <a:ln>
              <a:noFill/>
            </a:ln>
            <a:effectLst/>
          </c:spPr>
          <c:invertIfNegative val="0"/>
          <c:dLbls>
            <c:spPr>
              <a:solidFill>
                <a:schemeClr val="accent5"/>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Pivot!$AU$3:$AV$8</c:f>
              <c:multiLvlStrCache>
                <c:ptCount val="3"/>
                <c:lvl>
                  <c:pt idx="0">
                    <c:v>Not at all</c:v>
                  </c:pt>
                  <c:pt idx="1">
                    <c:v>Yes</c:v>
                  </c:pt>
                  <c:pt idx="2">
                    <c:v>Yes</c:v>
                  </c:pt>
                </c:lvl>
                <c:lvl>
                  <c:pt idx="0">
                    <c:v>Not Prepared</c:v>
                  </c:pt>
                  <c:pt idx="2">
                    <c:v>Prepared</c:v>
                  </c:pt>
                </c:lvl>
              </c:multiLvlStrCache>
            </c:multiLvlStrRef>
          </c:cat>
          <c:val>
            <c:numRef>
              <c:f>Pivot!$AW$3:$AW$8</c:f>
              <c:numCache>
                <c:formatCode>0%</c:formatCode>
                <c:ptCount val="3"/>
                <c:pt idx="0">
                  <c:v>0.17333333333333334</c:v>
                </c:pt>
                <c:pt idx="1">
                  <c:v>0.82</c:v>
                </c:pt>
                <c:pt idx="2">
                  <c:v>6.6666666666666671E-3</c:v>
                </c:pt>
              </c:numCache>
            </c:numRef>
          </c:val>
          <c:extLst>
            <c:ext xmlns:c16="http://schemas.microsoft.com/office/drawing/2014/chart" uri="{C3380CC4-5D6E-409C-BE32-E72D297353CC}">
              <c16:uniqueId val="{00000000-C435-47DD-9F91-539967D1FD42}"/>
            </c:ext>
          </c:extLst>
        </c:ser>
        <c:dLbls>
          <c:showLegendKey val="0"/>
          <c:showVal val="0"/>
          <c:showCatName val="0"/>
          <c:showSerName val="0"/>
          <c:showPercent val="0"/>
          <c:showBubbleSize val="0"/>
        </c:dLbls>
        <c:gapWidth val="150"/>
        <c:overlap val="100"/>
        <c:axId val="1878081456"/>
        <c:axId val="1786603536"/>
      </c:barChart>
      <c:catAx>
        <c:axId val="187808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603536"/>
        <c:crosses val="autoZero"/>
        <c:auto val="1"/>
        <c:lblAlgn val="ctr"/>
        <c:lblOffset val="100"/>
        <c:noMultiLvlLbl val="0"/>
      </c:catAx>
      <c:valAx>
        <c:axId val="1786603536"/>
        <c:scaling>
          <c:orientation val="minMax"/>
        </c:scaling>
        <c:delete val="1"/>
        <c:axPos val="l"/>
        <c:numFmt formatCode="0%" sourceLinked="1"/>
        <c:majorTickMark val="none"/>
        <c:minorTickMark val="none"/>
        <c:tickLblPos val="nextTo"/>
        <c:crossAx val="187808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BPCR .xlsx]Pivot!PivotTable24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Times" panose="020B0500000000000000" pitchFamily="34" charset="0"/>
                <a:ea typeface="Times" panose="020B0500000000000000" pitchFamily="34" charset="0"/>
                <a:cs typeface="Times" panose="020B0500000000000000" pitchFamily="34" charset="0"/>
              </a:rPr>
              <a:t>BPCR Knowledge vs  BPCR Practice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Pivot!$BH$2</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Pivot!$BF$3:$BG$8</c:f>
              <c:multiLvlStrCache>
                <c:ptCount val="3"/>
                <c:lvl>
                  <c:pt idx="0">
                    <c:v>Knowledgeable</c:v>
                  </c:pt>
                  <c:pt idx="1">
                    <c:v>Not knowledgeable</c:v>
                  </c:pt>
                  <c:pt idx="2">
                    <c:v>Knowledgeable</c:v>
                  </c:pt>
                </c:lvl>
                <c:lvl>
                  <c:pt idx="0">
                    <c:v>Not Prepared</c:v>
                  </c:pt>
                  <c:pt idx="2">
                    <c:v>Prepared</c:v>
                  </c:pt>
                </c:lvl>
              </c:multiLvlStrCache>
            </c:multiLvlStrRef>
          </c:cat>
          <c:val>
            <c:numRef>
              <c:f>Pivot!$BH$3:$BH$8</c:f>
              <c:numCache>
                <c:formatCode>0%</c:formatCode>
                <c:ptCount val="3"/>
                <c:pt idx="0">
                  <c:v>0.37666666666666665</c:v>
                </c:pt>
                <c:pt idx="1">
                  <c:v>0.6166666666666667</c:v>
                </c:pt>
                <c:pt idx="2">
                  <c:v>6.6666666666666671E-3</c:v>
                </c:pt>
              </c:numCache>
            </c:numRef>
          </c:val>
          <c:extLst>
            <c:ext xmlns:c16="http://schemas.microsoft.com/office/drawing/2014/chart" uri="{C3380CC4-5D6E-409C-BE32-E72D297353CC}">
              <c16:uniqueId val="{00000000-5BA6-487B-BCC3-88A75BCF5D00}"/>
            </c:ext>
          </c:extLst>
        </c:ser>
        <c:dLbls>
          <c:showLegendKey val="0"/>
          <c:showVal val="0"/>
          <c:showCatName val="0"/>
          <c:showSerName val="0"/>
          <c:showPercent val="0"/>
          <c:showBubbleSize val="0"/>
        </c:dLbls>
        <c:gapWidth val="150"/>
        <c:overlap val="100"/>
        <c:axId val="882813040"/>
        <c:axId val="1786634736"/>
      </c:barChart>
      <c:catAx>
        <c:axId val="88281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786634736"/>
        <c:crosses val="autoZero"/>
        <c:auto val="1"/>
        <c:lblAlgn val="ctr"/>
        <c:lblOffset val="100"/>
        <c:noMultiLvlLbl val="0"/>
      </c:catAx>
      <c:valAx>
        <c:axId val="1786634736"/>
        <c:scaling>
          <c:orientation val="minMax"/>
        </c:scaling>
        <c:delete val="1"/>
        <c:axPos val="l"/>
        <c:numFmt formatCode="0%" sourceLinked="1"/>
        <c:majorTickMark val="none"/>
        <c:minorTickMark val="none"/>
        <c:tickLblPos val="nextTo"/>
        <c:crossAx val="88281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BPCR .xlsx]Pivot!PivotTable23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2"/>
                </a:solidFill>
                <a:latin typeface="Times" panose="020B0500000000000000" pitchFamily="34" charset="0"/>
                <a:ea typeface="Times" panose="020B0500000000000000" pitchFamily="34" charset="0"/>
                <a:cs typeface="Times" panose="020B0500000000000000" pitchFamily="34" charset="0"/>
              </a:rPr>
              <a:t>BPCR Health</a:t>
            </a:r>
            <a:r>
              <a:rPr lang="en-US" sz="1100" b="1" baseline="0">
                <a:solidFill>
                  <a:schemeClr val="tx2"/>
                </a:solidFill>
                <a:latin typeface="Times" panose="020B0500000000000000" pitchFamily="34" charset="0"/>
                <a:ea typeface="Times" panose="020B0500000000000000" pitchFamily="34" charset="0"/>
                <a:cs typeface="Times" panose="020B0500000000000000" pitchFamily="34" charset="0"/>
              </a:rPr>
              <a:t> Education by BPCR Practice </a:t>
            </a:r>
            <a:endParaRPr lang="en-US" sz="1100" b="1">
              <a:solidFill>
                <a:schemeClr val="tx2"/>
              </a:solidFill>
              <a:latin typeface="Times" panose="020B0500000000000000" pitchFamily="34" charset="0"/>
              <a:ea typeface="Times" panose="020B0500000000000000" pitchFamily="34" charset="0"/>
              <a:cs typeface="Times" panose="020B0500000000000000"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Pivot!$BC$2</c:f>
              <c:strCache>
                <c:ptCount val="1"/>
                <c:pt idx="0">
                  <c:v>Total</c:v>
                </c:pt>
              </c:strCache>
            </c:strRef>
          </c:tx>
          <c:spPr>
            <a:solidFill>
              <a:schemeClr val="accent6">
                <a:lumMod val="75000"/>
              </a:schemeClr>
            </a:solidFill>
            <a:ln>
              <a:noFill/>
            </a:ln>
            <a:effectLst/>
          </c:spPr>
          <c:invertIfNegative val="0"/>
          <c:dLbls>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Pivot!$BA$3:$BB$9</c:f>
              <c:multiLvlStrCache>
                <c:ptCount val="4"/>
                <c:lvl>
                  <c:pt idx="0">
                    <c:v>Missing</c:v>
                  </c:pt>
                  <c:pt idx="1">
                    <c:v>Not at all</c:v>
                  </c:pt>
                  <c:pt idx="2">
                    <c:v>Yes</c:v>
                  </c:pt>
                  <c:pt idx="3">
                    <c:v>Yes</c:v>
                  </c:pt>
                </c:lvl>
                <c:lvl>
                  <c:pt idx="0">
                    <c:v>Not Prepared</c:v>
                  </c:pt>
                  <c:pt idx="3">
                    <c:v>Prepared</c:v>
                  </c:pt>
                </c:lvl>
              </c:multiLvlStrCache>
            </c:multiLvlStrRef>
          </c:cat>
          <c:val>
            <c:numRef>
              <c:f>Pivot!$BC$3:$BC$9</c:f>
              <c:numCache>
                <c:formatCode>General</c:formatCode>
                <c:ptCount val="4"/>
                <c:pt idx="0">
                  <c:v>52</c:v>
                </c:pt>
                <c:pt idx="1">
                  <c:v>151</c:v>
                </c:pt>
                <c:pt idx="2">
                  <c:v>95</c:v>
                </c:pt>
                <c:pt idx="3">
                  <c:v>2</c:v>
                </c:pt>
              </c:numCache>
            </c:numRef>
          </c:val>
          <c:extLst>
            <c:ext xmlns:c16="http://schemas.microsoft.com/office/drawing/2014/chart" uri="{C3380CC4-5D6E-409C-BE32-E72D297353CC}">
              <c16:uniqueId val="{00000000-B359-4805-87A9-7D474305D1CF}"/>
            </c:ext>
          </c:extLst>
        </c:ser>
        <c:dLbls>
          <c:dLblPos val="inBase"/>
          <c:showLegendKey val="0"/>
          <c:showVal val="1"/>
          <c:showCatName val="0"/>
          <c:showSerName val="0"/>
          <c:showPercent val="0"/>
          <c:showBubbleSize val="0"/>
        </c:dLbls>
        <c:gapWidth val="150"/>
        <c:overlap val="100"/>
        <c:axId val="1878038304"/>
        <c:axId val="346881840"/>
      </c:barChart>
      <c:catAx>
        <c:axId val="187803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Times" panose="020B0500000000000000" pitchFamily="34" charset="0"/>
                <a:ea typeface="Times" panose="020B0500000000000000" pitchFamily="34" charset="0"/>
                <a:cs typeface="Times" panose="020B0500000000000000" pitchFamily="34" charset="0"/>
              </a:defRPr>
            </a:pPr>
            <a:endParaRPr lang="en-US"/>
          </a:p>
        </c:txPr>
        <c:crossAx val="346881840"/>
        <c:crosses val="autoZero"/>
        <c:auto val="1"/>
        <c:lblAlgn val="ctr"/>
        <c:lblOffset val="100"/>
        <c:noMultiLvlLbl val="0"/>
      </c:catAx>
      <c:valAx>
        <c:axId val="346881840"/>
        <c:scaling>
          <c:orientation val="minMax"/>
        </c:scaling>
        <c:delete val="1"/>
        <c:axPos val="l"/>
        <c:numFmt formatCode="General" sourceLinked="1"/>
        <c:majorTickMark val="none"/>
        <c:minorTickMark val="none"/>
        <c:tickLblPos val="nextTo"/>
        <c:crossAx val="187803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BPCR .xlsx]Pivot!PivotTable5</c:name>
    <c:fmtId val="4"/>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a:glow rad="76200">
              <a:schemeClr val="accent1">
                <a:alpha val="34000"/>
              </a:schemeClr>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a:glow rad="76200">
              <a:schemeClr val="accent1">
                <a:alpha val="34000"/>
              </a:schemeClr>
            </a:glow>
            <a:softEdge rad="0"/>
          </a:effectLst>
        </c:spPr>
      </c:pivotFmt>
      <c:pivotFmt>
        <c:idx val="7"/>
        <c:spPr>
          <a:solidFill>
            <a:schemeClr val="accent6"/>
          </a:solidFill>
          <a:ln w="19050">
            <a:solidFill>
              <a:schemeClr val="lt1"/>
            </a:solidFill>
          </a:ln>
          <a:effectLst>
            <a:glow rad="76200">
              <a:schemeClr val="accent1">
                <a:alpha val="34000"/>
              </a:schemeClr>
            </a:glow>
            <a:softEdge rad="0"/>
          </a:effectLst>
        </c:spPr>
      </c:pivotFmt>
      <c:pivotFmt>
        <c:idx val="8"/>
        <c:spPr>
          <a:solidFill>
            <a:schemeClr val="accent6"/>
          </a:solidFill>
          <a:ln w="19050">
            <a:solidFill>
              <a:schemeClr val="lt1"/>
            </a:solidFill>
          </a:ln>
          <a:effectLst>
            <a:glow rad="76200">
              <a:schemeClr val="accent1">
                <a:alpha val="34000"/>
              </a:schemeClr>
            </a:glow>
            <a:softEdge rad="0"/>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296198664170345"/>
                  <c:h val="0.12999883035072768"/>
                </c:manualLayout>
              </c15:layout>
            </c:ext>
          </c:extLst>
        </c:dLbl>
      </c:pivotFmt>
      <c:pivotFmt>
        <c:idx val="11"/>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7.9103017247412408E-2"/>
                  <c:h val="7.9068959179240395E-2"/>
                </c:manualLayout>
              </c15:layout>
            </c:ext>
          </c:extLst>
        </c:dLbl>
      </c:pivotFmt>
      <c:pivotFmt>
        <c:idx val="12"/>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1778802285613734E-2"/>
                  <c:h val="0.12151051848881314"/>
                </c:manualLayout>
              </c15:layout>
            </c:ext>
          </c:extLst>
        </c:dLbl>
      </c:pivotFmt>
    </c:pivotFmts>
    <c:plotArea>
      <c:layout>
        <c:manualLayout>
          <c:layoutTarget val="inner"/>
          <c:xMode val="edge"/>
          <c:yMode val="edge"/>
          <c:x val="0.19965075123957207"/>
          <c:y val="0.32315657398385328"/>
          <c:w val="0.32073903002309467"/>
          <c:h val="0.68752475247524747"/>
        </c:manualLayout>
      </c:layout>
      <c:pieChart>
        <c:varyColors val="1"/>
        <c:ser>
          <c:idx val="0"/>
          <c:order val="0"/>
          <c:tx>
            <c:strRef>
              <c:f>Pivot!$AG$3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B-E689-4EAE-B8A3-A587A7945EA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A-E689-4EAE-B8A3-A587A7945EAA}"/>
              </c:ext>
            </c:extLst>
          </c:dPt>
          <c:dPt>
            <c:idx val="2"/>
            <c:bubble3D val="0"/>
            <c:spPr>
              <a:solidFill>
                <a:schemeClr val="accent4"/>
              </a:solidFill>
              <a:ln w="19050">
                <a:solidFill>
                  <a:schemeClr val="lt1"/>
                </a:solidFill>
              </a:ln>
              <a:effectLst/>
            </c:spPr>
          </c:dPt>
          <c:dPt>
            <c:idx val="3"/>
            <c:bubble3D val="0"/>
            <c:spPr>
              <a:solidFill>
                <a:schemeClr val="accent6">
                  <a:lumMod val="60000"/>
                </a:schemeClr>
              </a:solidFill>
              <a:ln w="19050">
                <a:solidFill>
                  <a:schemeClr val="lt1"/>
                </a:solidFill>
              </a:ln>
              <a:effectLst/>
            </c:spPr>
          </c:dPt>
          <c:dPt>
            <c:idx val="4"/>
            <c:bubble3D val="0"/>
            <c:spPr>
              <a:solidFill>
                <a:schemeClr val="accent5">
                  <a:lumMod val="60000"/>
                </a:schemeClr>
              </a:solidFill>
              <a:ln w="19050">
                <a:solidFill>
                  <a:schemeClr val="lt1"/>
                </a:solidFill>
              </a:ln>
              <a:effectLst/>
            </c:spPr>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E689-4EAE-B8A3-A587A7945EAA}"/>
              </c:ext>
            </c:extLst>
          </c:dPt>
          <c:dLbls>
            <c:dLbl>
              <c:idx val="0"/>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1778802285613734E-2"/>
                      <c:h val="0.12151051848881314"/>
                    </c:manualLayout>
                  </c15:layout>
                </c:ext>
                <c:ext xmlns:c16="http://schemas.microsoft.com/office/drawing/2014/chart" uri="{C3380CC4-5D6E-409C-BE32-E72D297353CC}">
                  <c16:uniqueId val="{0000000B-E689-4EAE-B8A3-A587A7945EAA}"/>
                </c:ext>
              </c:extLst>
            </c:dLbl>
            <c:dLbl>
              <c:idx val="1"/>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7.9103017247412408E-2"/>
                      <c:h val="7.9068959179240395E-2"/>
                    </c:manualLayout>
                  </c15:layout>
                </c:ext>
                <c:ext xmlns:c16="http://schemas.microsoft.com/office/drawing/2014/chart" uri="{C3380CC4-5D6E-409C-BE32-E72D297353CC}">
                  <c16:uniqueId val="{0000000A-E689-4EAE-B8A3-A587A7945EAA}"/>
                </c:ext>
              </c:extLst>
            </c:dLbl>
            <c:dLbl>
              <c:idx val="5"/>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296198664170345"/>
                      <c:h val="0.12999883035072768"/>
                    </c:manualLayout>
                  </c15:layout>
                </c:ext>
                <c:ext xmlns:c16="http://schemas.microsoft.com/office/drawing/2014/chart" uri="{C3380CC4-5D6E-409C-BE32-E72D297353CC}">
                  <c16:uniqueId val="{00000009-E689-4EAE-B8A3-A587A7945EAA}"/>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Pivot!$AE$4:$AF$12</c:f>
              <c:multiLvlStrCache>
                <c:ptCount val="6"/>
                <c:lvl>
                  <c:pt idx="0">
                    <c:v>Missing</c:v>
                  </c:pt>
                  <c:pt idx="1">
                    <c:v>Not at all</c:v>
                  </c:pt>
                  <c:pt idx="2">
                    <c:v>Yes</c:v>
                  </c:pt>
                  <c:pt idx="3">
                    <c:v>Missing</c:v>
                  </c:pt>
                  <c:pt idx="4">
                    <c:v>Not at all</c:v>
                  </c:pt>
                  <c:pt idx="5">
                    <c:v>Yes</c:v>
                  </c:pt>
                </c:lvl>
                <c:lvl>
                  <c:pt idx="0">
                    <c:v>Knowledgeable</c:v>
                  </c:pt>
                  <c:pt idx="3">
                    <c:v>Not knowledgeable</c:v>
                  </c:pt>
                </c:lvl>
              </c:multiLvlStrCache>
            </c:multiLvlStrRef>
          </c:cat>
          <c:val>
            <c:numRef>
              <c:f>Pivot!$AG$4:$AG$12</c:f>
              <c:numCache>
                <c:formatCode>0.0%</c:formatCode>
                <c:ptCount val="6"/>
                <c:pt idx="0">
                  <c:v>3.3333333333333333E-2</c:v>
                </c:pt>
                <c:pt idx="1">
                  <c:v>0.15</c:v>
                </c:pt>
                <c:pt idx="2">
                  <c:v>0.2</c:v>
                </c:pt>
                <c:pt idx="3">
                  <c:v>0.14000000000000001</c:v>
                </c:pt>
                <c:pt idx="4">
                  <c:v>0.35333333333333333</c:v>
                </c:pt>
                <c:pt idx="5">
                  <c:v>0.12333333333333334</c:v>
                </c:pt>
              </c:numCache>
            </c:numRef>
          </c:val>
          <c:extLst>
            <c:ext xmlns:c16="http://schemas.microsoft.com/office/drawing/2014/chart" uri="{C3380CC4-5D6E-409C-BE32-E72D297353CC}">
              <c16:uniqueId val="{00000007-E689-4EAE-B8A3-A587A7945EA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734730239132992"/>
          <c:y val="0.16443339073108665"/>
          <c:w val="0.27257768074192273"/>
          <c:h val="0.83556660926891335"/>
        </c:manualLayout>
      </c:layout>
      <c:overlay val="0"/>
      <c:spPr>
        <a:noFill/>
        <a:ln>
          <a:noFill/>
        </a:ln>
        <a:effectLst/>
      </c:spPr>
      <c:txPr>
        <a:bodyPr rot="0" spcFirstLastPara="1" vertOverflow="ellipsis" vert="horz" wrap="square" anchor="ctr" anchorCtr="1"/>
        <a:lstStyle/>
        <a:p>
          <a:pPr>
            <a:defRPr sz="6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BPCR .xlsx]Pivot!PivotTable4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2"/>
                </a:solidFill>
              </a:rPr>
              <a:t>Income bye BPCR Knowledge</a:t>
            </a:r>
          </a:p>
        </c:rich>
      </c:tx>
      <c:overlay val="0"/>
      <c:spPr>
        <a:noFill/>
        <a:ln>
          <a:noFill/>
        </a:ln>
        <a:effectLst/>
      </c:spPr>
    </c:title>
    <c:autoTitleDeleted val="0"/>
    <c:pivotFmts>
      <c:pivotFmt>
        <c:idx val="0"/>
        <c:spPr>
          <a:solidFill>
            <a:srgbClr val="FFC000"/>
          </a:solidFill>
          <a:ln>
            <a:noFill/>
          </a:ln>
          <a:effectLst/>
        </c:spPr>
        <c:marker>
          <c:symbol val="none"/>
        </c:marker>
        <c:dLbl>
          <c:idx val="0"/>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dLbl>
          <c:idx val="0"/>
          <c:layout>
            <c:manualLayout>
              <c:x val="-2.5462668816039986E-17"/>
              <c:y val="-0.13726341498979303"/>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dLbl>
          <c:idx val="0"/>
          <c:layout>
            <c:manualLayout>
              <c:x val="3.5842293906807217E-4"/>
              <c:y val="-7.3401501895596383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5397849462365582E-2"/>
                  <c:h val="7.3240740740740745E-2"/>
                </c:manualLayout>
              </c15:layout>
            </c:ext>
          </c:extLst>
        </c:dLbl>
      </c:pivotFmt>
      <c:pivotFmt>
        <c:idx val="3"/>
        <c:spPr>
          <a:solidFill>
            <a:srgbClr val="FFC000"/>
          </a:solidFill>
          <a:ln>
            <a:noFill/>
          </a:ln>
          <a:effectLst/>
        </c:spPr>
        <c:dLbl>
          <c:idx val="0"/>
          <c:layout>
            <c:manualLayout>
              <c:x val="-2.5462668816039986E-17"/>
              <c:y val="-7.871172353455827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dLbl>
          <c:idx val="0"/>
          <c:layout>
            <c:manualLayout>
              <c:x val="0"/>
              <c:y val="-8.7154418197725278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dLbl>
          <c:idx val="0"/>
          <c:layout>
            <c:manualLayout>
              <c:x val="8.3333333333333332E-3"/>
              <c:y val="-9.19200204141149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layout>
            <c:manualLayout>
              <c:x val="2.7777777777777267E-3"/>
              <c:y val="-0.12323855351414406"/>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dLbl>
          <c:idx val="0"/>
          <c:layout>
            <c:manualLayout>
              <c:x val="8.512544802867332E-3"/>
              <c:y val="-0.1104385389326334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3928315412186378E-2"/>
                  <c:h val="7.3240740740740745E-2"/>
                </c:manualLayout>
              </c15:layout>
            </c:ext>
          </c:extLst>
        </c:dLbl>
      </c:pivotFmt>
      <c:pivotFmt>
        <c:idx val="8"/>
        <c:spPr>
          <a:solidFill>
            <a:srgbClr val="FFC000"/>
          </a:solidFill>
          <a:ln>
            <a:noFill/>
          </a:ln>
          <a:effectLst/>
        </c:spPr>
        <c:dLbl>
          <c:idx val="0"/>
          <c:layout>
            <c:manualLayout>
              <c:x val="5.7348799142042731E-3"/>
              <c:y val="-5.5365266841644792E-2"/>
            </c:manualLayout>
          </c:layout>
          <c:numFmt formatCode="0%" sourceLinked="0"/>
          <c:spPr>
            <a:solidFill>
              <a:srgbClr val="002060"/>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2555555555555555E-2"/>
                  <c:h val="7.3240740740740745E-2"/>
                </c:manualLayout>
              </c15:layout>
            </c:ext>
          </c:extLst>
        </c:dLbl>
      </c:pivotFmt>
      <c:pivotFmt>
        <c:idx val="9"/>
        <c:spPr>
          <a:solidFill>
            <a:srgbClr val="FFC000"/>
          </a:solidFill>
          <a:ln>
            <a:noFill/>
          </a:ln>
          <a:effectLst/>
        </c:spPr>
        <c:dLbl>
          <c:idx val="0"/>
          <c:layout>
            <c:manualLayout>
              <c:x val="5.0925337632079971E-17"/>
              <c:y val="-0.11016622922134733"/>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dLbl>
          <c:idx val="0"/>
          <c:layout>
            <c:manualLayout>
              <c:x val="1.1559168007224851E-2"/>
              <c:y val="-0.12827646544181978"/>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dLbl>
          <c:idx val="0"/>
          <c:layout>
            <c:manualLayout>
              <c:x val="-2.777749555499111E-3"/>
              <c:y val="-6.9452464275298914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a:noFill/>
          </a:ln>
          <a:effectLst/>
        </c:spPr>
        <c:dLbl>
          <c:idx val="0"/>
          <c:layout>
            <c:manualLayout>
              <c:x val="0"/>
              <c:y val="-0.27572214931466899"/>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dLbl>
          <c:idx val="0"/>
          <c:layout>
            <c:manualLayout>
              <c:x val="0"/>
              <c:y val="-0.14371026538349374"/>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dLbl>
          <c:idx val="0"/>
          <c:layout>
            <c:manualLayout>
              <c:x val="2.8673835125448029E-3"/>
              <c:y val="-0.10849372995042286"/>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solidFill>
          <a:ln>
            <a:noFill/>
          </a:ln>
          <a:effectLst/>
        </c:spPr>
        <c:dLbl>
          <c:idx val="0"/>
          <c:layout>
            <c:manualLayout>
              <c:x val="0"/>
              <c:y val="-0.10808909303003791"/>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solidFill>
          <a:ln>
            <a:noFill/>
          </a:ln>
          <a:effectLst/>
        </c:spPr>
        <c:dLbl>
          <c:idx val="0"/>
          <c:layout>
            <c:manualLayout>
              <c:x val="2.8673835125446979E-3"/>
              <c:y val="-6.7838291046952465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dLbl>
          <c:idx val="0"/>
          <c:layout>
            <c:manualLayout>
              <c:x val="-2.1027236183568505E-16"/>
              <c:y val="-0.13667614464858568"/>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C000"/>
          </a:solidFill>
          <a:ln>
            <a:noFill/>
          </a:ln>
          <a:effectLst/>
        </c:spPr>
        <c:dLbl>
          <c:idx val="0"/>
          <c:layout>
            <c:manualLayout>
              <c:x val="2.8673835125448029E-3"/>
              <c:y val="-7.1659011373578385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000"/>
          </a:solidFill>
          <a:ln>
            <a:noFill/>
          </a:ln>
          <a:effectLst/>
        </c:spPr>
        <c:dLbl>
          <c:idx val="0"/>
          <c:layout>
            <c:manualLayout>
              <c:x val="1.1469534050179106E-2"/>
              <c:y val="-5.9185987168270719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000"/>
          </a:solidFill>
          <a:ln>
            <a:noFill/>
          </a:ln>
          <a:effectLst/>
        </c:spPr>
        <c:dLbl>
          <c:idx val="0"/>
          <c:layout>
            <c:manualLayout>
              <c:x val="0"/>
              <c:y val="-7.8311096529600555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C000"/>
          </a:solidFill>
          <a:ln>
            <a:noFill/>
          </a:ln>
          <a:effectLst/>
        </c:spPr>
        <c:dLbl>
          <c:idx val="0"/>
          <c:layout>
            <c:manualLayout>
              <c:x val="1.1469534050179106E-2"/>
              <c:y val="-9.2199985418489436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C000"/>
          </a:solidFill>
          <a:ln>
            <a:noFill/>
          </a:ln>
          <a:effectLst/>
        </c:spPr>
        <c:dLbl>
          <c:idx val="0"/>
          <c:layout>
            <c:manualLayout>
              <c:x val="0"/>
              <c:y val="-8.6761446485855931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C000"/>
          </a:solidFill>
          <a:ln>
            <a:noFill/>
          </a:ln>
          <a:effectLst/>
        </c:spPr>
        <c:dLbl>
          <c:idx val="0"/>
          <c:layout>
            <c:manualLayout>
              <c:x val="0"/>
              <c:y val="-9.2402303878681827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C000"/>
          </a:solidFill>
          <a:ln>
            <a:noFill/>
          </a:ln>
          <a:effectLst/>
        </c:spPr>
        <c:dLbl>
          <c:idx val="0"/>
          <c:layout>
            <c:manualLayout>
              <c:x val="8.6021505376344086E-3"/>
              <c:y val="-6.8242927967337413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C000"/>
          </a:solidFill>
          <a:ln>
            <a:noFill/>
          </a:ln>
          <a:effectLst/>
        </c:spPr>
        <c:marker>
          <c:symbol val="none"/>
        </c:marker>
        <c:dLbl>
          <c:idx val="0"/>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C000"/>
          </a:solidFill>
          <a:ln>
            <a:noFill/>
          </a:ln>
          <a:effectLst/>
        </c:spPr>
        <c:dLbl>
          <c:idx val="0"/>
          <c:layout>
            <c:manualLayout>
              <c:x val="3.5842293906807217E-4"/>
              <c:y val="-7.3401501895596383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5397849462365582E-2"/>
                  <c:h val="7.3240740740740745E-2"/>
                </c:manualLayout>
              </c15:layout>
            </c:ext>
          </c:extLst>
        </c:dLbl>
      </c:pivotFmt>
      <c:pivotFmt>
        <c:idx val="27"/>
        <c:spPr>
          <a:solidFill>
            <a:srgbClr val="FFC000"/>
          </a:solidFill>
          <a:ln>
            <a:noFill/>
          </a:ln>
          <a:effectLst/>
        </c:spPr>
        <c:dLbl>
          <c:idx val="0"/>
          <c:layout>
            <c:manualLayout>
              <c:x val="-2.5462668816039986E-17"/>
              <c:y val="-0.13726341498979303"/>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C000"/>
          </a:solidFill>
          <a:ln>
            <a:noFill/>
          </a:ln>
          <a:effectLst/>
        </c:spPr>
        <c:dLbl>
          <c:idx val="0"/>
          <c:layout>
            <c:manualLayout>
              <c:x val="-2.5462668816039986E-17"/>
              <c:y val="-7.871172353455827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C000"/>
          </a:solidFill>
          <a:ln>
            <a:noFill/>
          </a:ln>
          <a:effectLst/>
        </c:spPr>
        <c:dLbl>
          <c:idx val="0"/>
          <c:layout>
            <c:manualLayout>
              <c:x val="0"/>
              <c:y val="-8.7154418197725278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C000"/>
          </a:solidFill>
          <a:ln>
            <a:noFill/>
          </a:ln>
          <a:effectLst/>
        </c:spPr>
        <c:dLbl>
          <c:idx val="0"/>
          <c:layout>
            <c:manualLayout>
              <c:x val="8.3333333333333332E-3"/>
              <c:y val="-9.19200204141149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C000"/>
          </a:solidFill>
          <a:ln>
            <a:noFill/>
          </a:ln>
          <a:effectLst/>
        </c:spPr>
        <c:dLbl>
          <c:idx val="0"/>
          <c:layout>
            <c:manualLayout>
              <c:x val="2.7777777777777267E-3"/>
              <c:y val="-0.12323855351414406"/>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FFC000"/>
          </a:solidFill>
          <a:ln>
            <a:noFill/>
          </a:ln>
          <a:effectLst/>
        </c:spPr>
        <c:dLbl>
          <c:idx val="0"/>
          <c:layout>
            <c:manualLayout>
              <c:x val="8.512544802867332E-3"/>
              <c:y val="-0.1104385389326334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3928315412186378E-2"/>
                  <c:h val="7.3240740740740745E-2"/>
                </c:manualLayout>
              </c15:layout>
            </c:ext>
          </c:extLst>
        </c:dLbl>
      </c:pivotFmt>
      <c:pivotFmt>
        <c:idx val="33"/>
        <c:spPr>
          <a:solidFill>
            <a:srgbClr val="FFC000"/>
          </a:solidFill>
          <a:ln>
            <a:noFill/>
          </a:ln>
          <a:effectLst/>
        </c:spPr>
        <c:dLbl>
          <c:idx val="0"/>
          <c:layout>
            <c:manualLayout>
              <c:x val="5.7348799142042731E-3"/>
              <c:y val="-5.5365266841644792E-2"/>
            </c:manualLayout>
          </c:layout>
          <c:numFmt formatCode="0%" sourceLinked="0"/>
          <c:spPr>
            <a:solidFill>
              <a:srgbClr val="002060"/>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2555555555555555E-2"/>
                  <c:h val="7.3240740740740745E-2"/>
                </c:manualLayout>
              </c15:layout>
            </c:ext>
          </c:extLst>
        </c:dLbl>
      </c:pivotFmt>
      <c:pivotFmt>
        <c:idx val="34"/>
        <c:spPr>
          <a:solidFill>
            <a:srgbClr val="FFC000"/>
          </a:solidFill>
          <a:ln>
            <a:noFill/>
          </a:ln>
          <a:effectLst/>
        </c:spPr>
        <c:dLbl>
          <c:idx val="0"/>
          <c:layout>
            <c:manualLayout>
              <c:x val="5.0925337632079971E-17"/>
              <c:y val="-0.11016622922134733"/>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C000"/>
          </a:solidFill>
          <a:ln>
            <a:noFill/>
          </a:ln>
          <a:effectLst/>
        </c:spPr>
        <c:dLbl>
          <c:idx val="0"/>
          <c:layout>
            <c:manualLayout>
              <c:x val="1.1559168007224851E-2"/>
              <c:y val="-0.12827646544181978"/>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FFC000"/>
          </a:solidFill>
          <a:ln>
            <a:noFill/>
          </a:ln>
          <a:effectLst/>
        </c:spPr>
        <c:dLbl>
          <c:idx val="0"/>
          <c:layout>
            <c:manualLayout>
              <c:x val="-2.777749555499111E-3"/>
              <c:y val="-6.9452464275298914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C000"/>
          </a:solidFill>
          <a:ln>
            <a:noFill/>
          </a:ln>
          <a:effectLst/>
        </c:spPr>
        <c:dLbl>
          <c:idx val="0"/>
          <c:layout>
            <c:manualLayout>
              <c:x val="8.6021505376344086E-3"/>
              <c:y val="-6.8242927967337413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FFC000"/>
          </a:solidFill>
          <a:ln>
            <a:noFill/>
          </a:ln>
          <a:effectLst/>
        </c:spPr>
        <c:dLbl>
          <c:idx val="0"/>
          <c:layout>
            <c:manualLayout>
              <c:x val="0"/>
              <c:y val="-9.2402303878681827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FFC000"/>
          </a:solidFill>
          <a:ln>
            <a:noFill/>
          </a:ln>
          <a:effectLst/>
        </c:spPr>
        <c:dLbl>
          <c:idx val="0"/>
          <c:layout>
            <c:manualLayout>
              <c:x val="0"/>
              <c:y val="-8.6761446485855931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FFC000"/>
          </a:solidFill>
          <a:ln>
            <a:noFill/>
          </a:ln>
          <a:effectLst/>
        </c:spPr>
        <c:dLbl>
          <c:idx val="0"/>
          <c:layout>
            <c:manualLayout>
              <c:x val="1.1469534050179106E-2"/>
              <c:y val="-9.2199985418489436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FFC000"/>
          </a:solidFill>
          <a:ln>
            <a:noFill/>
          </a:ln>
          <a:effectLst/>
        </c:spPr>
        <c:dLbl>
          <c:idx val="0"/>
          <c:layout>
            <c:manualLayout>
              <c:x val="0"/>
              <c:y val="-0.14371026538349374"/>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FFC000"/>
          </a:solidFill>
          <a:ln>
            <a:noFill/>
          </a:ln>
          <a:effectLst/>
        </c:spPr>
        <c:dLbl>
          <c:idx val="0"/>
          <c:layout>
            <c:manualLayout>
              <c:x val="2.8673835125448029E-3"/>
              <c:y val="-0.10849372995042286"/>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C000"/>
          </a:solidFill>
          <a:ln>
            <a:noFill/>
          </a:ln>
          <a:effectLst/>
        </c:spPr>
        <c:dLbl>
          <c:idx val="0"/>
          <c:layout>
            <c:manualLayout>
              <c:x val="0"/>
              <c:y val="-0.27572214931466899"/>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C000"/>
          </a:solidFill>
          <a:ln>
            <a:noFill/>
          </a:ln>
          <a:effectLst/>
        </c:spPr>
        <c:dLbl>
          <c:idx val="0"/>
          <c:layout>
            <c:manualLayout>
              <c:x val="2.8673835125446979E-3"/>
              <c:y val="-6.7838291046952465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dLbl>
          <c:idx val="0"/>
          <c:layout>
            <c:manualLayout>
              <c:x val="0"/>
              <c:y val="-0.10808909303003791"/>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C000"/>
          </a:solidFill>
          <a:ln>
            <a:noFill/>
          </a:ln>
          <a:effectLst/>
        </c:spPr>
        <c:dLbl>
          <c:idx val="0"/>
          <c:layout>
            <c:manualLayout>
              <c:x val="0"/>
              <c:y val="-7.8311096529600555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FFC000"/>
          </a:solidFill>
          <a:ln>
            <a:noFill/>
          </a:ln>
          <a:effectLst/>
        </c:spPr>
        <c:dLbl>
          <c:idx val="0"/>
          <c:layout>
            <c:manualLayout>
              <c:x val="1.1469534050179106E-2"/>
              <c:y val="-5.9185987168270719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FFC000"/>
          </a:solidFill>
          <a:ln>
            <a:noFill/>
          </a:ln>
          <a:effectLst/>
        </c:spPr>
        <c:dLbl>
          <c:idx val="0"/>
          <c:layout>
            <c:manualLayout>
              <c:x val="2.8673835125448029E-3"/>
              <c:y val="-7.1659011373578385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FFC000"/>
          </a:solidFill>
          <a:ln>
            <a:noFill/>
          </a:ln>
          <a:effectLst/>
        </c:spPr>
        <c:dLbl>
          <c:idx val="0"/>
          <c:layout>
            <c:manualLayout>
              <c:x val="-2.1027236183568505E-16"/>
              <c:y val="-0.13667614464858568"/>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FFC000"/>
          </a:solidFill>
          <a:ln>
            <a:noFill/>
          </a:ln>
          <a:effectLst/>
        </c:spPr>
        <c:marker>
          <c:symbol val="none"/>
        </c:marker>
        <c:dLbl>
          <c:idx val="0"/>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C000"/>
          </a:solidFill>
          <a:ln>
            <a:noFill/>
          </a:ln>
          <a:effectLst/>
        </c:spPr>
        <c:dLbl>
          <c:idx val="0"/>
          <c:layout>
            <c:manualLayout>
              <c:x val="3.5842293906807217E-4"/>
              <c:y val="-7.3401501895596383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5397849462365582E-2"/>
                  <c:h val="7.3240740740740745E-2"/>
                </c:manualLayout>
              </c15:layout>
            </c:ext>
          </c:extLst>
        </c:dLbl>
      </c:pivotFmt>
      <c:pivotFmt>
        <c:idx val="52"/>
        <c:spPr>
          <a:solidFill>
            <a:srgbClr val="FFC000"/>
          </a:solidFill>
          <a:ln>
            <a:noFill/>
          </a:ln>
          <a:effectLst/>
        </c:spPr>
        <c:dLbl>
          <c:idx val="0"/>
          <c:layout>
            <c:manualLayout>
              <c:x val="-2.5462668816039986E-17"/>
              <c:y val="-0.13726341498979303"/>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FFC000"/>
          </a:solidFill>
          <a:ln>
            <a:noFill/>
          </a:ln>
          <a:effectLst/>
        </c:spPr>
        <c:dLbl>
          <c:idx val="0"/>
          <c:layout>
            <c:manualLayout>
              <c:x val="-2.5462668816039986E-17"/>
              <c:y val="-7.871172353455827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C000"/>
          </a:solidFill>
          <a:ln>
            <a:noFill/>
          </a:ln>
          <a:effectLst/>
        </c:spPr>
        <c:dLbl>
          <c:idx val="0"/>
          <c:layout>
            <c:manualLayout>
              <c:x val="0"/>
              <c:y val="-8.7154418197725278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FFC000"/>
          </a:solidFill>
          <a:ln>
            <a:noFill/>
          </a:ln>
          <a:effectLst/>
        </c:spPr>
        <c:dLbl>
          <c:idx val="0"/>
          <c:layout>
            <c:manualLayout>
              <c:x val="8.3333333333333332E-3"/>
              <c:y val="-9.19200204141149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FFC000"/>
          </a:solidFill>
          <a:ln>
            <a:noFill/>
          </a:ln>
          <a:effectLst/>
        </c:spPr>
        <c:dLbl>
          <c:idx val="0"/>
          <c:layout>
            <c:manualLayout>
              <c:x val="2.7777777777777267E-3"/>
              <c:y val="-0.12323855351414406"/>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FFC000"/>
          </a:solidFill>
          <a:ln>
            <a:noFill/>
          </a:ln>
          <a:effectLst/>
        </c:spPr>
        <c:dLbl>
          <c:idx val="0"/>
          <c:layout>
            <c:manualLayout>
              <c:x val="8.512544802867332E-3"/>
              <c:y val="-0.1104385389326334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3928315412186378E-2"/>
                  <c:h val="7.3240740740740745E-2"/>
                </c:manualLayout>
              </c15:layout>
            </c:ext>
          </c:extLst>
        </c:dLbl>
      </c:pivotFmt>
      <c:pivotFmt>
        <c:idx val="58"/>
        <c:spPr>
          <a:solidFill>
            <a:srgbClr val="FFC000"/>
          </a:solidFill>
          <a:ln>
            <a:noFill/>
          </a:ln>
          <a:effectLst/>
        </c:spPr>
        <c:dLbl>
          <c:idx val="0"/>
          <c:layout>
            <c:manualLayout>
              <c:x val="5.7348799142042731E-3"/>
              <c:y val="-5.5365266841644792E-2"/>
            </c:manualLayout>
          </c:layout>
          <c:numFmt formatCode="0%" sourceLinked="0"/>
          <c:spPr>
            <a:solidFill>
              <a:srgbClr val="002060"/>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2555555555555555E-2"/>
                  <c:h val="7.3240740740740745E-2"/>
                </c:manualLayout>
              </c15:layout>
            </c:ext>
          </c:extLst>
        </c:dLbl>
      </c:pivotFmt>
      <c:pivotFmt>
        <c:idx val="59"/>
        <c:spPr>
          <a:solidFill>
            <a:srgbClr val="FFC000"/>
          </a:solidFill>
          <a:ln>
            <a:noFill/>
          </a:ln>
          <a:effectLst/>
        </c:spPr>
        <c:dLbl>
          <c:idx val="0"/>
          <c:layout>
            <c:manualLayout>
              <c:x val="5.0925337632079971E-17"/>
              <c:y val="-0.11016622922134733"/>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FFC000"/>
          </a:solidFill>
          <a:ln>
            <a:noFill/>
          </a:ln>
          <a:effectLst/>
        </c:spPr>
        <c:dLbl>
          <c:idx val="0"/>
          <c:layout>
            <c:manualLayout>
              <c:x val="1.1559168007224851E-2"/>
              <c:y val="-0.12827646544181978"/>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C000"/>
          </a:solidFill>
          <a:ln>
            <a:noFill/>
          </a:ln>
          <a:effectLst/>
        </c:spPr>
        <c:dLbl>
          <c:idx val="0"/>
          <c:layout>
            <c:manualLayout>
              <c:x val="-2.777749555499111E-3"/>
              <c:y val="-6.9452464275298914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FFC000"/>
          </a:solidFill>
          <a:ln>
            <a:noFill/>
          </a:ln>
          <a:effectLst/>
        </c:spPr>
        <c:dLbl>
          <c:idx val="0"/>
          <c:layout>
            <c:manualLayout>
              <c:x val="8.6021505376344086E-3"/>
              <c:y val="-6.8242927967337413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FFC000"/>
          </a:solidFill>
          <a:ln>
            <a:noFill/>
          </a:ln>
          <a:effectLst/>
        </c:spPr>
        <c:dLbl>
          <c:idx val="0"/>
          <c:layout>
            <c:manualLayout>
              <c:x val="0"/>
              <c:y val="-9.2402303878681827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FFC000"/>
          </a:solidFill>
          <a:ln>
            <a:noFill/>
          </a:ln>
          <a:effectLst/>
        </c:spPr>
        <c:dLbl>
          <c:idx val="0"/>
          <c:layout>
            <c:manualLayout>
              <c:x val="0"/>
              <c:y val="-8.6761446485855931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FFC000"/>
          </a:solidFill>
          <a:ln>
            <a:noFill/>
          </a:ln>
          <a:effectLst/>
        </c:spPr>
        <c:dLbl>
          <c:idx val="0"/>
          <c:layout>
            <c:manualLayout>
              <c:x val="1.1469534050179106E-2"/>
              <c:y val="-9.2199985418489436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FFC000"/>
          </a:solidFill>
          <a:ln>
            <a:noFill/>
          </a:ln>
          <a:effectLst/>
        </c:spPr>
        <c:dLbl>
          <c:idx val="0"/>
          <c:layout>
            <c:manualLayout>
              <c:x val="0"/>
              <c:y val="-0.14371026538349374"/>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FFC000"/>
          </a:solidFill>
          <a:ln>
            <a:noFill/>
          </a:ln>
          <a:effectLst/>
        </c:spPr>
        <c:dLbl>
          <c:idx val="0"/>
          <c:layout>
            <c:manualLayout>
              <c:x val="2.8673835125448029E-3"/>
              <c:y val="-0.10849372995042286"/>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FFC000"/>
          </a:solidFill>
          <a:ln>
            <a:noFill/>
          </a:ln>
          <a:effectLst/>
        </c:spPr>
        <c:dLbl>
          <c:idx val="0"/>
          <c:layout>
            <c:manualLayout>
              <c:x val="0"/>
              <c:y val="-0.27572214931466899"/>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000"/>
          </a:solidFill>
          <a:ln>
            <a:noFill/>
          </a:ln>
          <a:effectLst/>
        </c:spPr>
        <c:dLbl>
          <c:idx val="0"/>
          <c:layout>
            <c:manualLayout>
              <c:x val="2.8673835125446979E-3"/>
              <c:y val="-6.7838291046952465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FFC000"/>
          </a:solidFill>
          <a:ln>
            <a:noFill/>
          </a:ln>
          <a:effectLst/>
        </c:spPr>
        <c:dLbl>
          <c:idx val="0"/>
          <c:layout>
            <c:manualLayout>
              <c:x val="0"/>
              <c:y val="-0.10808909303003791"/>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FFC000"/>
          </a:solidFill>
          <a:ln>
            <a:noFill/>
          </a:ln>
          <a:effectLst/>
        </c:spPr>
        <c:dLbl>
          <c:idx val="0"/>
          <c:layout>
            <c:manualLayout>
              <c:x val="0"/>
              <c:y val="-7.8311096529600555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rgbClr val="FFC000"/>
          </a:solidFill>
          <a:ln>
            <a:noFill/>
          </a:ln>
          <a:effectLst/>
        </c:spPr>
        <c:dLbl>
          <c:idx val="0"/>
          <c:layout>
            <c:manualLayout>
              <c:x val="1.1469534050179106E-2"/>
              <c:y val="-5.9185987168270719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dLbl>
          <c:idx val="0"/>
          <c:layout>
            <c:manualLayout>
              <c:x val="2.8673835125448029E-3"/>
              <c:y val="-7.1659011373578385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rgbClr val="FFC000"/>
          </a:solidFill>
          <a:ln>
            <a:noFill/>
          </a:ln>
          <a:effectLst/>
        </c:spPr>
        <c:dLbl>
          <c:idx val="0"/>
          <c:layout>
            <c:manualLayout>
              <c:x val="-2.1027236183568505E-16"/>
              <c:y val="-0.13667614464858568"/>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FFC000"/>
          </a:solidFill>
          <a:ln>
            <a:noFill/>
          </a:ln>
          <a:effectLst/>
        </c:spPr>
        <c:marker>
          <c:symbol val="none"/>
        </c:marker>
        <c:dLbl>
          <c:idx val="0"/>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6"/>
        <c:dLbl>
          <c:idx val="0"/>
          <c:layout>
            <c:manualLayout>
              <c:x val="3.5842293906807217E-4"/>
              <c:y val="-7.3401501895596383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5397849462365582E-2"/>
                  <c:h val="7.3240740740740745E-2"/>
                </c:manualLayout>
              </c15:layout>
            </c:ext>
          </c:extLst>
        </c:dLbl>
      </c:pivotFmt>
      <c:pivotFmt>
        <c:idx val="77"/>
        <c:dLbl>
          <c:idx val="0"/>
          <c:layout>
            <c:manualLayout>
              <c:x val="-2.5462668816039986E-17"/>
              <c:y val="-0.13726341498979303"/>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dLbl>
          <c:idx val="0"/>
          <c:layout>
            <c:manualLayout>
              <c:x val="-2.5462668816039986E-17"/>
              <c:y val="-7.871172353455827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dLbl>
          <c:idx val="0"/>
          <c:layout>
            <c:manualLayout>
              <c:x val="0"/>
              <c:y val="-8.7154418197725278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dLbl>
          <c:idx val="0"/>
          <c:layout>
            <c:manualLayout>
              <c:x val="8.3333333333333332E-3"/>
              <c:y val="-9.19200204141149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dLbl>
          <c:idx val="0"/>
          <c:layout>
            <c:manualLayout>
              <c:x val="2.7777777777777267E-3"/>
              <c:y val="-0.12323855351414406"/>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dLbl>
          <c:idx val="0"/>
          <c:layout>
            <c:manualLayout>
              <c:x val="8.512544802867332E-3"/>
              <c:y val="-0.1104385389326334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3928315412186378E-2"/>
                  <c:h val="7.3240740740740745E-2"/>
                </c:manualLayout>
              </c15:layout>
            </c:ext>
          </c:extLst>
        </c:dLbl>
      </c:pivotFmt>
      <c:pivotFmt>
        <c:idx val="83"/>
        <c:dLbl>
          <c:idx val="0"/>
          <c:layout>
            <c:manualLayout>
              <c:x val="5.7348799142042731E-3"/>
              <c:y val="-5.5365266841644792E-2"/>
            </c:manualLayout>
          </c:layout>
          <c:numFmt formatCode="0%" sourceLinked="0"/>
          <c:spPr>
            <a:solidFill>
              <a:srgbClr val="002060"/>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2555555555555555E-2"/>
                  <c:h val="7.3240740740740745E-2"/>
                </c:manualLayout>
              </c15:layout>
            </c:ext>
          </c:extLst>
        </c:dLbl>
      </c:pivotFmt>
      <c:pivotFmt>
        <c:idx val="84"/>
        <c:dLbl>
          <c:idx val="0"/>
          <c:layout>
            <c:manualLayout>
              <c:x val="5.0925337632079971E-17"/>
              <c:y val="-0.11016622922134733"/>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dLbl>
          <c:idx val="0"/>
          <c:layout>
            <c:manualLayout>
              <c:x val="1.1559168007224851E-2"/>
              <c:y val="-0.12827646544181978"/>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6"/>
        <c:dLbl>
          <c:idx val="0"/>
          <c:layout>
            <c:manualLayout>
              <c:x val="-2.777749555499111E-3"/>
              <c:y val="-6.9452464275298914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dLbl>
          <c:idx val="0"/>
          <c:layout>
            <c:manualLayout>
              <c:x val="8.6021505376344086E-3"/>
              <c:y val="-6.8242927967337413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dLbl>
          <c:idx val="0"/>
          <c:layout>
            <c:manualLayout>
              <c:x val="0"/>
              <c:y val="-9.2402303878681827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dLbl>
          <c:idx val="0"/>
          <c:layout>
            <c:manualLayout>
              <c:x val="0"/>
              <c:y val="-8.6761446485855931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dLbl>
          <c:idx val="0"/>
          <c:layout>
            <c:manualLayout>
              <c:x val="1.1469534050179106E-2"/>
              <c:y val="-9.2199985418489436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dLbl>
          <c:idx val="0"/>
          <c:layout>
            <c:manualLayout>
              <c:x val="0"/>
              <c:y val="-0.14371026538349374"/>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dLbl>
          <c:idx val="0"/>
          <c:layout>
            <c:manualLayout>
              <c:x val="2.8673835125448029E-3"/>
              <c:y val="-0.10849372995042286"/>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dLbl>
          <c:idx val="0"/>
          <c:layout>
            <c:manualLayout>
              <c:x val="0"/>
              <c:y val="-0.27572214931466899"/>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4"/>
        <c:dLbl>
          <c:idx val="0"/>
          <c:layout>
            <c:manualLayout>
              <c:x val="2.8673835125446979E-3"/>
              <c:y val="-6.7838291046952465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5"/>
        <c:dLbl>
          <c:idx val="0"/>
          <c:layout>
            <c:manualLayout>
              <c:x val="0"/>
              <c:y val="-0.10808909303003791"/>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6"/>
        <c:dLbl>
          <c:idx val="0"/>
          <c:layout>
            <c:manualLayout>
              <c:x val="0"/>
              <c:y val="-7.8311096529600555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dLbl>
          <c:idx val="0"/>
          <c:layout>
            <c:manualLayout>
              <c:x val="1.1469534050179106E-2"/>
              <c:y val="-5.9185987168270719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dLbl>
          <c:idx val="0"/>
          <c:layout>
            <c:manualLayout>
              <c:x val="2.8673835125448029E-3"/>
              <c:y val="-7.1659011373578385E-2"/>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dLbl>
          <c:idx val="0"/>
          <c:layout>
            <c:manualLayout>
              <c:x val="-2.1027236183568505E-16"/>
              <c:y val="-0.13667614464858568"/>
            </c:manualLayout>
          </c:layout>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27993531828752E-2"/>
          <c:y val="7.4296524680948087E-3"/>
          <c:w val="0.91305993000874885"/>
          <c:h val="0.67994622731920162"/>
        </c:manualLayout>
      </c:layout>
      <c:barChart>
        <c:barDir val="col"/>
        <c:grouping val="stacked"/>
        <c:varyColors val="0"/>
        <c:ser>
          <c:idx val="0"/>
          <c:order val="0"/>
          <c:tx>
            <c:strRef>
              <c:f>Pivot!$AC$3</c:f>
              <c:strCache>
                <c:ptCount val="1"/>
                <c:pt idx="0">
                  <c:v>Total</c:v>
                </c:pt>
              </c:strCache>
            </c:strRef>
          </c:tx>
          <c:spPr>
            <a:solidFill>
              <a:srgbClr val="FFC000"/>
            </a:solidFill>
            <a:ln>
              <a:noFill/>
            </a:ln>
            <a:effectLst/>
          </c:spPr>
          <c:invertIfNegative val="0"/>
          <c:dLbls>
            <c:dLbl>
              <c:idx val="0"/>
              <c:layout>
                <c:manualLayout>
                  <c:x val="3.5842293906807217E-4"/>
                  <c:y val="-7.3401501895596383E-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5.5397849462365582E-2"/>
                      <c:h val="7.3240740740740745E-2"/>
                    </c:manualLayout>
                  </c15:layout>
                </c:ext>
                <c:ext xmlns:c16="http://schemas.microsoft.com/office/drawing/2014/chart" uri="{C3380CC4-5D6E-409C-BE32-E72D297353CC}">
                  <c16:uniqueId val="{00000003-EEF0-4674-A114-2FE822384261}"/>
                </c:ext>
              </c:extLst>
            </c:dLbl>
            <c:dLbl>
              <c:idx val="1"/>
              <c:layout>
                <c:manualLayout>
                  <c:x val="-2.5462668816039986E-17"/>
                  <c:y val="-0.137263414989793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F0-4674-A114-2FE822384261}"/>
                </c:ext>
              </c:extLst>
            </c:dLbl>
            <c:dLbl>
              <c:idx val="2"/>
              <c:layout>
                <c:manualLayout>
                  <c:x val="-2.5462668816039986E-17"/>
                  <c:y val="-7.8711723534558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F0-4674-A114-2FE822384261}"/>
                </c:ext>
              </c:extLst>
            </c:dLbl>
            <c:dLbl>
              <c:idx val="3"/>
              <c:layout>
                <c:manualLayout>
                  <c:x val="0"/>
                  <c:y val="-8.715441819772527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F0-4674-A114-2FE822384261}"/>
                </c:ext>
              </c:extLst>
            </c:dLbl>
            <c:dLbl>
              <c:idx val="4"/>
              <c:layout>
                <c:manualLayout>
                  <c:x val="8.3333333333333332E-3"/>
                  <c:y val="-9.1920020414114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EF0-4674-A114-2FE822384261}"/>
                </c:ext>
              </c:extLst>
            </c:dLbl>
            <c:dLbl>
              <c:idx val="5"/>
              <c:layout>
                <c:manualLayout>
                  <c:x val="2.7777777777777267E-3"/>
                  <c:y val="-0.123238553514144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EF0-4674-A114-2FE822384261}"/>
                </c:ext>
              </c:extLst>
            </c:dLbl>
            <c:dLbl>
              <c:idx val="6"/>
              <c:layout>
                <c:manualLayout>
                  <c:x val="8.512544802867332E-3"/>
                  <c:y val="-0.1104385389326334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4.3928315412186378E-2"/>
                      <c:h val="7.3240740740740745E-2"/>
                    </c:manualLayout>
                  </c15:layout>
                </c:ext>
                <c:ext xmlns:c16="http://schemas.microsoft.com/office/drawing/2014/chart" uri="{C3380CC4-5D6E-409C-BE32-E72D297353CC}">
                  <c16:uniqueId val="{00000009-EEF0-4674-A114-2FE822384261}"/>
                </c:ext>
              </c:extLst>
            </c:dLbl>
            <c:dLbl>
              <c:idx val="7"/>
              <c:layout>
                <c:manualLayout>
                  <c:x val="5.7348799142042731E-3"/>
                  <c:y val="-5.5365266841644792E-2"/>
                </c:manualLayout>
              </c:layout>
              <c:numFmt formatCode="0%" sourceLinked="0"/>
              <c:spPr>
                <a:solidFill>
                  <a:srgbClr val="002060"/>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2555555555555555E-2"/>
                      <c:h val="7.3240740740740745E-2"/>
                    </c:manualLayout>
                  </c15:layout>
                </c:ext>
                <c:ext xmlns:c16="http://schemas.microsoft.com/office/drawing/2014/chart" uri="{C3380CC4-5D6E-409C-BE32-E72D297353CC}">
                  <c16:uniqueId val="{0000000A-EEF0-4674-A114-2FE822384261}"/>
                </c:ext>
              </c:extLst>
            </c:dLbl>
            <c:dLbl>
              <c:idx val="8"/>
              <c:layout>
                <c:manualLayout>
                  <c:x val="5.0925337632079971E-17"/>
                  <c:y val="-0.1101662292213473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EF0-4674-A114-2FE822384261}"/>
                </c:ext>
              </c:extLst>
            </c:dLbl>
            <c:dLbl>
              <c:idx val="9"/>
              <c:layout>
                <c:manualLayout>
                  <c:x val="1.1559168007224851E-2"/>
                  <c:y val="-0.128276465441819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EF0-4674-A114-2FE822384261}"/>
                </c:ext>
              </c:extLst>
            </c:dLbl>
            <c:dLbl>
              <c:idx val="10"/>
              <c:layout>
                <c:manualLayout>
                  <c:x val="-2.777749555499111E-3"/>
                  <c:y val="-6.945246427529891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EF0-4674-A114-2FE822384261}"/>
                </c:ext>
              </c:extLst>
            </c:dLbl>
            <c:dLbl>
              <c:idx val="11"/>
              <c:layout>
                <c:manualLayout>
                  <c:x val="8.6021505376344086E-3"/>
                  <c:y val="-6.824292796733741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EF0-4674-A114-2FE822384261}"/>
                </c:ext>
              </c:extLst>
            </c:dLbl>
            <c:dLbl>
              <c:idx val="12"/>
              <c:layout>
                <c:manualLayout>
                  <c:x val="0"/>
                  <c:y val="-9.24023038786818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EF0-4674-A114-2FE822384261}"/>
                </c:ext>
              </c:extLst>
            </c:dLbl>
            <c:dLbl>
              <c:idx val="13"/>
              <c:layout>
                <c:manualLayout>
                  <c:x val="0"/>
                  <c:y val="-8.676144648585593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EF0-4674-A114-2FE822384261}"/>
                </c:ext>
              </c:extLst>
            </c:dLbl>
            <c:dLbl>
              <c:idx val="14"/>
              <c:layout>
                <c:manualLayout>
                  <c:x val="1.1469534050179106E-2"/>
                  <c:y val="-9.219998541848943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EF0-4674-A114-2FE822384261}"/>
                </c:ext>
              </c:extLst>
            </c:dLbl>
            <c:dLbl>
              <c:idx val="15"/>
              <c:layout>
                <c:manualLayout>
                  <c:x val="0"/>
                  <c:y val="-0.143710265383493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EF0-4674-A114-2FE822384261}"/>
                </c:ext>
              </c:extLst>
            </c:dLbl>
            <c:dLbl>
              <c:idx val="16"/>
              <c:layout>
                <c:manualLayout>
                  <c:x val="2.8673835125448029E-3"/>
                  <c:y val="-0.108493729950422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EF0-4674-A114-2FE822384261}"/>
                </c:ext>
              </c:extLst>
            </c:dLbl>
            <c:dLbl>
              <c:idx val="17"/>
              <c:layout>
                <c:manualLayout>
                  <c:x val="0"/>
                  <c:y val="-0.275722149314668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EF0-4674-A114-2FE822384261}"/>
                </c:ext>
              </c:extLst>
            </c:dLbl>
            <c:dLbl>
              <c:idx val="18"/>
              <c:layout>
                <c:manualLayout>
                  <c:x val="2.8673835125446979E-3"/>
                  <c:y val="-6.783829104695246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EF0-4674-A114-2FE822384261}"/>
                </c:ext>
              </c:extLst>
            </c:dLbl>
            <c:dLbl>
              <c:idx val="19"/>
              <c:layout>
                <c:manualLayout>
                  <c:x val="0"/>
                  <c:y val="-0.108089093030037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EEF0-4674-A114-2FE822384261}"/>
                </c:ext>
              </c:extLst>
            </c:dLbl>
            <c:dLbl>
              <c:idx val="20"/>
              <c:layout>
                <c:manualLayout>
                  <c:x val="0"/>
                  <c:y val="-7.831109652960055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EEF0-4674-A114-2FE822384261}"/>
                </c:ext>
              </c:extLst>
            </c:dLbl>
            <c:dLbl>
              <c:idx val="21"/>
              <c:layout>
                <c:manualLayout>
                  <c:x val="1.1469534050179106E-2"/>
                  <c:y val="-5.918598716827071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EEF0-4674-A114-2FE822384261}"/>
                </c:ext>
              </c:extLst>
            </c:dLbl>
            <c:dLbl>
              <c:idx val="22"/>
              <c:layout>
                <c:manualLayout>
                  <c:x val="2.8673835125448029E-3"/>
                  <c:y val="-7.165901137357838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EEF0-4674-A114-2FE822384261}"/>
                </c:ext>
              </c:extLst>
            </c:dLbl>
            <c:dLbl>
              <c:idx val="23"/>
              <c:layout>
                <c:manualLayout>
                  <c:x val="-2.1027236183568505E-16"/>
                  <c:y val="-0.136676144648585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EF0-4674-A114-2FE822384261}"/>
                </c:ext>
              </c:extLst>
            </c:dLbl>
            <c:numFmt formatCode="0%" sourceLinked="0"/>
            <c:spPr>
              <a:solidFill>
                <a:srgbClr val="00206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Pivot!$AA$4:$AB$30</c:f>
              <c:multiLvlStrCache>
                <c:ptCount val="24"/>
                <c:lvl>
                  <c:pt idx="0">
                    <c:v> $200 </c:v>
                  </c:pt>
                  <c:pt idx="1">
                    <c:v> $300 </c:v>
                  </c:pt>
                  <c:pt idx="2">
                    <c:v> $350 </c:v>
                  </c:pt>
                  <c:pt idx="3">
                    <c:v> $400 </c:v>
                  </c:pt>
                  <c:pt idx="4">
                    <c:v> $450 </c:v>
                  </c:pt>
                  <c:pt idx="5">
                    <c:v> $500 </c:v>
                  </c:pt>
                  <c:pt idx="6">
                    <c:v> $600 </c:v>
                  </c:pt>
                  <c:pt idx="7">
                    <c:v> $700 </c:v>
                  </c:pt>
                  <c:pt idx="8">
                    <c:v> $800 </c:v>
                  </c:pt>
                  <c:pt idx="9">
                    <c:v> $1,000 </c:v>
                  </c:pt>
                  <c:pt idx="10">
                    <c:v> $1,200 </c:v>
                  </c:pt>
                  <c:pt idx="11">
                    <c:v> $1,500 </c:v>
                  </c:pt>
                  <c:pt idx="12">
                    <c:v> $1,600 </c:v>
                  </c:pt>
                  <c:pt idx="13">
                    <c:v> $150 </c:v>
                  </c:pt>
                  <c:pt idx="14">
                    <c:v> $180 </c:v>
                  </c:pt>
                  <c:pt idx="15">
                    <c:v> $200 </c:v>
                  </c:pt>
                  <c:pt idx="16">
                    <c:v> $250 </c:v>
                  </c:pt>
                  <c:pt idx="17">
                    <c:v> $300 </c:v>
                  </c:pt>
                  <c:pt idx="18">
                    <c:v> $350 </c:v>
                  </c:pt>
                  <c:pt idx="19">
                    <c:v> $400 </c:v>
                  </c:pt>
                  <c:pt idx="20">
                    <c:v> $450 </c:v>
                  </c:pt>
                  <c:pt idx="21">
                    <c:v> $500 </c:v>
                  </c:pt>
                  <c:pt idx="22">
                    <c:v> $600 </c:v>
                  </c:pt>
                  <c:pt idx="23">
                    <c:v> $800 </c:v>
                  </c:pt>
                </c:lvl>
                <c:lvl>
                  <c:pt idx="0">
                    <c:v>Knowledgeable</c:v>
                  </c:pt>
                  <c:pt idx="13">
                    <c:v>Not knowledgeable</c:v>
                  </c:pt>
                </c:lvl>
              </c:multiLvlStrCache>
            </c:multiLvlStrRef>
          </c:cat>
          <c:val>
            <c:numRef>
              <c:f>Pivot!$AC$4:$AC$30</c:f>
              <c:numCache>
                <c:formatCode>0.00%</c:formatCode>
                <c:ptCount val="24"/>
                <c:pt idx="0">
                  <c:v>2.8469750889679714E-2</c:v>
                </c:pt>
                <c:pt idx="1">
                  <c:v>5.3380782918149468E-2</c:v>
                </c:pt>
                <c:pt idx="2">
                  <c:v>1.0676156583629894E-2</c:v>
                </c:pt>
                <c:pt idx="3">
                  <c:v>3.2028469750889681E-2</c:v>
                </c:pt>
                <c:pt idx="4">
                  <c:v>2.8469750889679714E-2</c:v>
                </c:pt>
                <c:pt idx="5">
                  <c:v>5.6939501779359428E-2</c:v>
                </c:pt>
                <c:pt idx="6">
                  <c:v>2.8469750889679714E-2</c:v>
                </c:pt>
                <c:pt idx="7">
                  <c:v>1.0676156583629894E-2</c:v>
                </c:pt>
                <c:pt idx="8">
                  <c:v>3.5587188612099648E-2</c:v>
                </c:pt>
                <c:pt idx="9">
                  <c:v>4.6263345195729534E-2</c:v>
                </c:pt>
                <c:pt idx="10">
                  <c:v>1.0676156583629894E-2</c:v>
                </c:pt>
                <c:pt idx="11">
                  <c:v>2.8469750889679714E-2</c:v>
                </c:pt>
                <c:pt idx="12">
                  <c:v>1.0676156583629894E-2</c:v>
                </c:pt>
                <c:pt idx="13">
                  <c:v>2.8469750889679714E-2</c:v>
                </c:pt>
                <c:pt idx="14">
                  <c:v>1.4234875444839857E-2</c:v>
                </c:pt>
                <c:pt idx="15">
                  <c:v>8.5409252669039148E-2</c:v>
                </c:pt>
                <c:pt idx="16">
                  <c:v>5.3380782918149468E-2</c:v>
                </c:pt>
                <c:pt idx="17">
                  <c:v>0.20640569395017794</c:v>
                </c:pt>
                <c:pt idx="18">
                  <c:v>3.5587188612099648E-2</c:v>
                </c:pt>
                <c:pt idx="19">
                  <c:v>6.0498220640569395E-2</c:v>
                </c:pt>
                <c:pt idx="20">
                  <c:v>1.4234875444839857E-2</c:v>
                </c:pt>
                <c:pt idx="21">
                  <c:v>2.491103202846975E-2</c:v>
                </c:pt>
                <c:pt idx="22">
                  <c:v>4.9822064056939501E-2</c:v>
                </c:pt>
                <c:pt idx="23">
                  <c:v>4.6263345195729534E-2</c:v>
                </c:pt>
              </c:numCache>
            </c:numRef>
          </c:val>
          <c:extLst>
            <c:ext xmlns:c16="http://schemas.microsoft.com/office/drawing/2014/chart" uri="{C3380CC4-5D6E-409C-BE32-E72D297353CC}">
              <c16:uniqueId val="{0000001B-EEF0-4674-A114-2FE822384261}"/>
            </c:ext>
          </c:extLst>
        </c:ser>
        <c:dLbls>
          <c:showLegendKey val="0"/>
          <c:showVal val="0"/>
          <c:showCatName val="0"/>
          <c:showSerName val="0"/>
          <c:showPercent val="0"/>
          <c:showBubbleSize val="0"/>
        </c:dLbls>
        <c:gapWidth val="150"/>
        <c:overlap val="100"/>
        <c:axId val="1640319792"/>
        <c:axId val="346864560"/>
      </c:barChart>
      <c:catAx>
        <c:axId val="16403197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346864560"/>
        <c:crosses val="autoZero"/>
        <c:auto val="1"/>
        <c:lblAlgn val="ctr"/>
        <c:lblOffset val="100"/>
        <c:noMultiLvlLbl val="0"/>
      </c:catAx>
      <c:valAx>
        <c:axId val="346864560"/>
        <c:scaling>
          <c:orientation val="minMax"/>
        </c:scaling>
        <c:delete val="1"/>
        <c:axPos val="l"/>
        <c:numFmt formatCode="0.00%" sourceLinked="1"/>
        <c:majorTickMark val="none"/>
        <c:minorTickMark val="none"/>
        <c:tickLblPos val="nextTo"/>
        <c:crossAx val="1640319792"/>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BPCR .xlsx]Pivot!PivotTable23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2"/>
                </a:solidFill>
                <a:latin typeface="Times" panose="020B0500000000000000" pitchFamily="34" charset="0"/>
                <a:ea typeface="Times" panose="020B0500000000000000" pitchFamily="34" charset="0"/>
                <a:cs typeface="Times" panose="020B0500000000000000" pitchFamily="34" charset="0"/>
              </a:rPr>
              <a:t>Health Education by BPCR Practice </a:t>
            </a:r>
          </a:p>
        </c:rich>
      </c:tx>
      <c:overlay val="0"/>
      <c:spPr>
        <a:noFill/>
        <a:ln>
          <a:noFill/>
        </a:ln>
        <a:effectLst/>
      </c:spPr>
    </c:title>
    <c:autoTitleDeleted val="0"/>
    <c:pivotFmts>
      <c:pivotFmt>
        <c:idx val="0"/>
        <c:spPr>
          <a:solidFill>
            <a:schemeClr val="accent6">
              <a:lumMod val="75000"/>
            </a:schemeClr>
          </a:solidFill>
          <a:ln>
            <a:no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380952380952382E-2"/>
          <c:y val="0.2229035886643202"/>
          <c:w val="0.89523809523809528"/>
          <c:h val="0.45866250589644036"/>
        </c:manualLayout>
      </c:layout>
      <c:barChart>
        <c:barDir val="col"/>
        <c:grouping val="stacked"/>
        <c:varyColors val="0"/>
        <c:ser>
          <c:idx val="0"/>
          <c:order val="0"/>
          <c:tx>
            <c:strRef>
              <c:f>Pivot!$BC$2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Pivot!$BA$3:$BB$9</c:f>
              <c:multiLvlStrCache>
                <c:ptCount val="4"/>
                <c:lvl>
                  <c:pt idx="0">
                    <c:v>Missing</c:v>
                  </c:pt>
                  <c:pt idx="1">
                    <c:v>Not at all</c:v>
                  </c:pt>
                  <c:pt idx="2">
                    <c:v>Yes</c:v>
                  </c:pt>
                  <c:pt idx="3">
                    <c:v>Yes</c:v>
                  </c:pt>
                </c:lvl>
                <c:lvl>
                  <c:pt idx="0">
                    <c:v>Not Prepared</c:v>
                  </c:pt>
                  <c:pt idx="3">
                    <c:v>Prepared</c:v>
                  </c:pt>
                </c:lvl>
              </c:multiLvlStrCache>
            </c:multiLvlStrRef>
          </c:cat>
          <c:val>
            <c:numRef>
              <c:f>Pivot!$BC$3:$BC$9</c:f>
              <c:numCache>
                <c:formatCode>General</c:formatCode>
                <c:ptCount val="4"/>
                <c:pt idx="0">
                  <c:v>52</c:v>
                </c:pt>
                <c:pt idx="1">
                  <c:v>151</c:v>
                </c:pt>
                <c:pt idx="2">
                  <c:v>95</c:v>
                </c:pt>
                <c:pt idx="3">
                  <c:v>2</c:v>
                </c:pt>
              </c:numCache>
            </c:numRef>
          </c:val>
          <c:extLst>
            <c:ext xmlns:c16="http://schemas.microsoft.com/office/drawing/2014/chart" uri="{C3380CC4-5D6E-409C-BE32-E72D297353CC}">
              <c16:uniqueId val="{00000002-0BA5-4203-B116-BB3A4162EDCD}"/>
            </c:ext>
          </c:extLst>
        </c:ser>
        <c:dLbls>
          <c:dLblPos val="inBase"/>
          <c:showLegendKey val="0"/>
          <c:showVal val="1"/>
          <c:showCatName val="0"/>
          <c:showSerName val="0"/>
          <c:showPercent val="0"/>
          <c:showBubbleSize val="0"/>
        </c:dLbls>
        <c:gapWidth val="150"/>
        <c:overlap val="100"/>
        <c:axId val="1878038304"/>
        <c:axId val="346881840"/>
      </c:barChart>
      <c:catAx>
        <c:axId val="18780383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Times" panose="020B0500000000000000" pitchFamily="34" charset="0"/>
                <a:ea typeface="Times" panose="020B0500000000000000" pitchFamily="34" charset="0"/>
                <a:cs typeface="Times" panose="020B0500000000000000" pitchFamily="34" charset="0"/>
              </a:defRPr>
            </a:pPr>
            <a:endParaRPr lang="en-US"/>
          </a:p>
        </c:txPr>
        <c:crossAx val="346881840"/>
        <c:crosses val="autoZero"/>
        <c:auto val="1"/>
        <c:lblAlgn val="ctr"/>
        <c:lblOffset val="100"/>
        <c:noMultiLvlLbl val="0"/>
      </c:catAx>
      <c:valAx>
        <c:axId val="346881840"/>
        <c:scaling>
          <c:orientation val="minMax"/>
        </c:scaling>
        <c:delete val="1"/>
        <c:axPos val="l"/>
        <c:numFmt formatCode="General" sourceLinked="1"/>
        <c:majorTickMark val="none"/>
        <c:minorTickMark val="none"/>
        <c:tickLblPos val="nextTo"/>
        <c:crossAx val="1878038304"/>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BPCR .xlsx]Pivot!PivotTable30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100" b="1">
                <a:solidFill>
                  <a:schemeClr val="tx2"/>
                </a:solidFill>
              </a:rPr>
              <a:t>Education Level by</a:t>
            </a:r>
            <a:r>
              <a:rPr lang="en-US" sz="1100" b="1" baseline="0">
                <a:solidFill>
                  <a:schemeClr val="tx2"/>
                </a:solidFill>
              </a:rPr>
              <a:t> BPCR  Knowledge</a:t>
            </a:r>
            <a:endParaRPr lang="en-US" b="1">
              <a:solidFill>
                <a:schemeClr val="tx2"/>
              </a:solidFill>
            </a:endParaRPr>
          </a:p>
        </c:rich>
      </c:tx>
      <c:layout>
        <c:manualLayout>
          <c:xMode val="edge"/>
          <c:yMode val="edge"/>
          <c:x val="0.19087635903588748"/>
          <c:y val="9.459469524866486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830838558926713"/>
          <c:y val="0.15723993970927322"/>
          <c:w val="0.59054765349807103"/>
          <c:h val="0.83755422596868301"/>
        </c:manualLayout>
      </c:layout>
      <c:barChart>
        <c:barDir val="bar"/>
        <c:grouping val="clustered"/>
        <c:varyColors val="0"/>
        <c:ser>
          <c:idx val="0"/>
          <c:order val="0"/>
          <c:tx>
            <c:strRef>
              <c:f>Pivot!$V$3</c:f>
              <c:strCache>
                <c:ptCount val="1"/>
                <c:pt idx="0">
                  <c:v>Total</c:v>
                </c:pt>
              </c:strCache>
            </c:strRef>
          </c:tx>
          <c:spPr>
            <a:solidFill>
              <a:srgbClr val="00B0F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Pivot!$T$4:$U$16</c:f>
              <c:multiLvlStrCache>
                <c:ptCount val="8"/>
                <c:lvl>
                  <c:pt idx="0">
                    <c:v>Knowledgeable</c:v>
                  </c:pt>
                  <c:pt idx="1">
                    <c:v>Not knowledgeable</c:v>
                  </c:pt>
                  <c:pt idx="2">
                    <c:v>Knowledgeable</c:v>
                  </c:pt>
                  <c:pt idx="3">
                    <c:v>Not knowledgeable</c:v>
                  </c:pt>
                  <c:pt idx="4">
                    <c:v>Knowledgeable</c:v>
                  </c:pt>
                  <c:pt idx="5">
                    <c:v>Not knowledgeable</c:v>
                  </c:pt>
                  <c:pt idx="6">
                    <c:v>Knowledgeable</c:v>
                  </c:pt>
                  <c:pt idx="7">
                    <c:v>Not knowledgeable</c:v>
                  </c:pt>
                </c:lvl>
                <c:lvl>
                  <c:pt idx="0">
                    <c:v>No Formal Education</c:v>
                  </c:pt>
                  <c:pt idx="2">
                    <c:v>Primary Education</c:v>
                  </c:pt>
                  <c:pt idx="4">
                    <c:v>Secondary Education</c:v>
                  </c:pt>
                  <c:pt idx="6">
                    <c:v>Tertiary Education</c:v>
                  </c:pt>
                </c:lvl>
              </c:multiLvlStrCache>
            </c:multiLvlStrRef>
          </c:cat>
          <c:val>
            <c:numRef>
              <c:f>Pivot!$V$4:$V$16</c:f>
              <c:numCache>
                <c:formatCode>General</c:formatCode>
                <c:ptCount val="8"/>
                <c:pt idx="0">
                  <c:v>3.6666666666666667E-2</c:v>
                </c:pt>
                <c:pt idx="1">
                  <c:v>0.11666666666666667</c:v>
                </c:pt>
                <c:pt idx="2">
                  <c:v>9.3333333333333338E-2</c:v>
                </c:pt>
                <c:pt idx="3">
                  <c:v>0.22333333333333333</c:v>
                </c:pt>
                <c:pt idx="4">
                  <c:v>0.12333333333333334</c:v>
                </c:pt>
                <c:pt idx="5">
                  <c:v>0.16666666666666666</c:v>
                </c:pt>
                <c:pt idx="6">
                  <c:v>0.13</c:v>
                </c:pt>
                <c:pt idx="7">
                  <c:v>0.11</c:v>
                </c:pt>
              </c:numCache>
            </c:numRef>
          </c:val>
          <c:extLst>
            <c:ext xmlns:c16="http://schemas.microsoft.com/office/drawing/2014/chart" uri="{C3380CC4-5D6E-409C-BE32-E72D297353CC}">
              <c16:uniqueId val="{00000000-9DC5-4742-AB4F-D4794205962D}"/>
            </c:ext>
          </c:extLst>
        </c:ser>
        <c:dLbls>
          <c:dLblPos val="outEnd"/>
          <c:showLegendKey val="0"/>
          <c:showVal val="1"/>
          <c:showCatName val="0"/>
          <c:showSerName val="0"/>
          <c:showPercent val="0"/>
          <c:showBubbleSize val="0"/>
        </c:dLbls>
        <c:gapWidth val="182"/>
        <c:axId val="1558887360"/>
        <c:axId val="1786623696"/>
      </c:barChart>
      <c:catAx>
        <c:axId val="15588873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1786623696"/>
        <c:crosses val="autoZero"/>
        <c:auto val="1"/>
        <c:lblAlgn val="ctr"/>
        <c:lblOffset val="100"/>
        <c:noMultiLvlLbl val="0"/>
      </c:catAx>
      <c:valAx>
        <c:axId val="1786623696"/>
        <c:scaling>
          <c:orientation val="minMax"/>
        </c:scaling>
        <c:delete val="1"/>
        <c:axPos val="t"/>
        <c:numFmt formatCode="General" sourceLinked="1"/>
        <c:majorTickMark val="none"/>
        <c:minorTickMark val="none"/>
        <c:tickLblPos val="nextTo"/>
        <c:crossAx val="155888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BPCR .xlsx]Pivot!PivotTable24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Times" panose="020B0500000000000000" pitchFamily="34" charset="0"/>
                <a:ea typeface="Times" panose="020B0500000000000000" pitchFamily="34" charset="0"/>
                <a:cs typeface="Times" panose="020B0500000000000000" pitchFamily="34" charset="0"/>
              </a:rPr>
              <a:t>BPCR Knowledge vs  BPCR Practice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427677752456572E-2"/>
          <c:y val="0.23127027767162434"/>
          <c:w val="0.90314464449508691"/>
          <c:h val="0.49878314630557646"/>
        </c:manualLayout>
      </c:layout>
      <c:barChart>
        <c:barDir val="col"/>
        <c:grouping val="stacked"/>
        <c:varyColors val="0"/>
        <c:ser>
          <c:idx val="0"/>
          <c:order val="0"/>
          <c:tx>
            <c:strRef>
              <c:f>Pivot!$BH$2</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Pivot!$BF$3:$BG$8</c:f>
              <c:multiLvlStrCache>
                <c:ptCount val="3"/>
                <c:lvl>
                  <c:pt idx="0">
                    <c:v>Knowledgeable</c:v>
                  </c:pt>
                  <c:pt idx="1">
                    <c:v>Not knowledgeable</c:v>
                  </c:pt>
                  <c:pt idx="2">
                    <c:v>Knowledgeable</c:v>
                  </c:pt>
                </c:lvl>
                <c:lvl>
                  <c:pt idx="0">
                    <c:v>Not Prepared</c:v>
                  </c:pt>
                  <c:pt idx="2">
                    <c:v>Prepared</c:v>
                  </c:pt>
                </c:lvl>
              </c:multiLvlStrCache>
            </c:multiLvlStrRef>
          </c:cat>
          <c:val>
            <c:numRef>
              <c:f>Pivot!$BH$3:$BH$8</c:f>
              <c:numCache>
                <c:formatCode>0%</c:formatCode>
                <c:ptCount val="3"/>
                <c:pt idx="0">
                  <c:v>0.37666666666666665</c:v>
                </c:pt>
                <c:pt idx="1">
                  <c:v>0.6166666666666667</c:v>
                </c:pt>
                <c:pt idx="2">
                  <c:v>6.6666666666666671E-3</c:v>
                </c:pt>
              </c:numCache>
            </c:numRef>
          </c:val>
          <c:extLst>
            <c:ext xmlns:c16="http://schemas.microsoft.com/office/drawing/2014/chart" uri="{C3380CC4-5D6E-409C-BE32-E72D297353CC}">
              <c16:uniqueId val="{00000000-BAF7-4827-9599-B2FEE4BBEDC6}"/>
            </c:ext>
          </c:extLst>
        </c:ser>
        <c:dLbls>
          <c:showLegendKey val="0"/>
          <c:showVal val="0"/>
          <c:showCatName val="0"/>
          <c:showSerName val="0"/>
          <c:showPercent val="0"/>
          <c:showBubbleSize val="0"/>
        </c:dLbls>
        <c:gapWidth val="150"/>
        <c:overlap val="100"/>
        <c:axId val="882813040"/>
        <c:axId val="1786634736"/>
      </c:barChart>
      <c:catAx>
        <c:axId val="8828130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1" i="0" u="none" strike="noStrike" kern="1200" baseline="0">
                <a:solidFill>
                  <a:schemeClr val="tx2"/>
                </a:solidFill>
                <a:latin typeface="+mn-lt"/>
                <a:ea typeface="+mn-ea"/>
                <a:cs typeface="+mn-cs"/>
              </a:defRPr>
            </a:pPr>
            <a:endParaRPr lang="en-US"/>
          </a:p>
        </c:txPr>
        <c:crossAx val="1786634736"/>
        <c:crosses val="autoZero"/>
        <c:auto val="1"/>
        <c:lblAlgn val="ctr"/>
        <c:lblOffset val="100"/>
        <c:noMultiLvlLbl val="0"/>
      </c:catAx>
      <c:valAx>
        <c:axId val="1786634736"/>
        <c:scaling>
          <c:orientation val="minMax"/>
        </c:scaling>
        <c:delete val="1"/>
        <c:axPos val="l"/>
        <c:numFmt formatCode="0%" sourceLinked="1"/>
        <c:majorTickMark val="none"/>
        <c:minorTickMark val="none"/>
        <c:tickLblPos val="nextTo"/>
        <c:crossAx val="88281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 BPCR .xlsx]Pivot!PivotTable22</c:name>
    <c:fmtId val="17"/>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chemeClr val="tx2"/>
                </a:solidFill>
                <a:latin typeface="Times" panose="020B0500000000000000" pitchFamily="34" charset="0"/>
                <a:ea typeface="Times" panose="020B0500000000000000" pitchFamily="34" charset="0"/>
                <a:cs typeface="Times" panose="020B0500000000000000" pitchFamily="34" charset="0"/>
              </a:rPr>
              <a:t>Ever Attended ANC by BPCR Practice </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75341190781169"/>
          <c:y val="9.9038936918407192E-2"/>
          <c:w val="0.82029216758628798"/>
          <c:h val="0.6275683950170422"/>
        </c:manualLayout>
      </c:layout>
      <c:barChart>
        <c:barDir val="col"/>
        <c:grouping val="stacked"/>
        <c:varyColors val="0"/>
        <c:ser>
          <c:idx val="0"/>
          <c:order val="0"/>
          <c:tx>
            <c:strRef>
              <c:f>Pivot!$AW$2</c:f>
              <c:strCache>
                <c:ptCount val="1"/>
                <c:pt idx="0">
                  <c:v>Total</c:v>
                </c:pt>
              </c:strCache>
            </c:strRef>
          </c:tx>
          <c:spPr>
            <a:solidFill>
              <a:schemeClr val="accent5"/>
            </a:solidFill>
            <a:ln>
              <a:noFill/>
            </a:ln>
            <a:effectLst/>
          </c:spPr>
          <c:invertIfNegative val="0"/>
          <c:dLbls>
            <c:spPr>
              <a:solidFill>
                <a:schemeClr val="accent5"/>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panose="020B0500000000000000" pitchFamily="34" charset="0"/>
                    <a:ea typeface="Times" panose="020B0500000000000000" pitchFamily="34" charset="0"/>
                    <a:cs typeface="Times" panose="020B0500000000000000"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Pivot!$AU$3:$AV$8</c:f>
              <c:multiLvlStrCache>
                <c:ptCount val="3"/>
                <c:lvl>
                  <c:pt idx="0">
                    <c:v>Not at all</c:v>
                  </c:pt>
                  <c:pt idx="1">
                    <c:v>Yes</c:v>
                  </c:pt>
                  <c:pt idx="2">
                    <c:v>Yes</c:v>
                  </c:pt>
                </c:lvl>
                <c:lvl>
                  <c:pt idx="0">
                    <c:v>Not Prepared</c:v>
                  </c:pt>
                  <c:pt idx="2">
                    <c:v>Prepared</c:v>
                  </c:pt>
                </c:lvl>
              </c:multiLvlStrCache>
            </c:multiLvlStrRef>
          </c:cat>
          <c:val>
            <c:numRef>
              <c:f>Pivot!$AW$3:$AW$8</c:f>
              <c:numCache>
                <c:formatCode>0%</c:formatCode>
                <c:ptCount val="3"/>
                <c:pt idx="0">
                  <c:v>0.17333333333333334</c:v>
                </c:pt>
                <c:pt idx="1">
                  <c:v>0.82</c:v>
                </c:pt>
                <c:pt idx="2">
                  <c:v>6.6666666666666671E-3</c:v>
                </c:pt>
              </c:numCache>
            </c:numRef>
          </c:val>
          <c:extLst>
            <c:ext xmlns:c16="http://schemas.microsoft.com/office/drawing/2014/chart" uri="{C3380CC4-5D6E-409C-BE32-E72D297353CC}">
              <c16:uniqueId val="{00000000-F2FA-4794-A668-9433D33D7CC0}"/>
            </c:ext>
          </c:extLst>
        </c:ser>
        <c:dLbls>
          <c:showLegendKey val="0"/>
          <c:showVal val="0"/>
          <c:showCatName val="0"/>
          <c:showSerName val="0"/>
          <c:showPercent val="0"/>
          <c:showBubbleSize val="0"/>
        </c:dLbls>
        <c:gapWidth val="150"/>
        <c:overlap val="100"/>
        <c:axId val="1878081456"/>
        <c:axId val="1786603536"/>
      </c:barChart>
      <c:catAx>
        <c:axId val="187808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2"/>
                </a:solidFill>
                <a:latin typeface="+mn-lt"/>
                <a:ea typeface="+mn-ea"/>
                <a:cs typeface="+mn-cs"/>
              </a:defRPr>
            </a:pPr>
            <a:endParaRPr lang="en-US"/>
          </a:p>
        </c:txPr>
        <c:crossAx val="1786603536"/>
        <c:crosses val="autoZero"/>
        <c:auto val="1"/>
        <c:lblAlgn val="ctr"/>
        <c:lblOffset val="100"/>
        <c:noMultiLvlLbl val="0"/>
      </c:catAx>
      <c:valAx>
        <c:axId val="1786603536"/>
        <c:scaling>
          <c:orientation val="minMax"/>
        </c:scaling>
        <c:delete val="1"/>
        <c:axPos val="l"/>
        <c:numFmt formatCode="0%" sourceLinked="1"/>
        <c:majorTickMark val="none"/>
        <c:minorTickMark val="none"/>
        <c:tickLblPos val="nextTo"/>
        <c:crossAx val="187808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chart" Target="../charts/chart13.xml"/><Relationship Id="rId3" Type="http://schemas.openxmlformats.org/officeDocument/2006/relationships/chart" Target="../charts/chart11.xml"/><Relationship Id="rId7" Type="http://schemas.openxmlformats.org/officeDocument/2006/relationships/image" Target="../media/image4.png"/><Relationship Id="rId12" Type="http://schemas.openxmlformats.org/officeDocument/2006/relationships/chart" Target="../charts/chart12.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image" Target="../media/image2.png"/><Relationship Id="rId10" Type="http://schemas.openxmlformats.org/officeDocument/2006/relationships/image" Target="../media/image6.png"/><Relationship Id="rId4" Type="http://schemas.openxmlformats.org/officeDocument/2006/relationships/image" Target="../media/image1.png"/><Relationship Id="rId9" Type="http://schemas.openxmlformats.org/officeDocument/2006/relationships/image" Target="../media/image5.png"/><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20</xdr:col>
      <xdr:colOff>574675</xdr:colOff>
      <xdr:row>19</xdr:row>
      <xdr:rowOff>3175</xdr:rowOff>
    </xdr:from>
    <xdr:to>
      <xdr:col>25</xdr:col>
      <xdr:colOff>327025</xdr:colOff>
      <xdr:row>33</xdr:row>
      <xdr:rowOff>168275</xdr:rowOff>
    </xdr:to>
    <xdr:graphicFrame macro="">
      <xdr:nvGraphicFramePr>
        <xdr:cNvPr id="3" name="Chart 2">
          <a:extLst>
            <a:ext uri="{FF2B5EF4-FFF2-40B4-BE49-F238E27FC236}">
              <a16:creationId xmlns:a16="http://schemas.microsoft.com/office/drawing/2014/main" id="{C259E0CB-6721-AC52-0852-F67D18DFA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54</xdr:col>
      <xdr:colOff>0</xdr:colOff>
      <xdr:row>8</xdr:row>
      <xdr:rowOff>0</xdr:rowOff>
    </xdr:from>
    <xdr:to>
      <xdr:col>56</xdr:col>
      <xdr:colOff>88900</xdr:colOff>
      <xdr:row>14</xdr:row>
      <xdr:rowOff>120650</xdr:rowOff>
    </xdr:to>
    <xdr:graphicFrame macro="">
      <xdr:nvGraphicFramePr>
        <xdr:cNvPr id="11" name="Chart 10">
          <a:extLst>
            <a:ext uri="{FF2B5EF4-FFF2-40B4-BE49-F238E27FC236}">
              <a16:creationId xmlns:a16="http://schemas.microsoft.com/office/drawing/2014/main" id="{8ECBE09F-72D9-4384-9CE9-C650D446B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104775</xdr:colOff>
      <xdr:row>9</xdr:row>
      <xdr:rowOff>66675</xdr:rowOff>
    </xdr:from>
    <xdr:to>
      <xdr:col>32</xdr:col>
      <xdr:colOff>1057275</xdr:colOff>
      <xdr:row>24</xdr:row>
      <xdr:rowOff>47625</xdr:rowOff>
    </xdr:to>
    <xdr:graphicFrame macro="">
      <xdr:nvGraphicFramePr>
        <xdr:cNvPr id="12" name="Chart 11">
          <a:extLst>
            <a:ext uri="{FF2B5EF4-FFF2-40B4-BE49-F238E27FC236}">
              <a16:creationId xmlns:a16="http://schemas.microsoft.com/office/drawing/2014/main" id="{728CAB8B-C2C9-1FAE-3156-A97EF60D2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1108075</xdr:colOff>
      <xdr:row>8</xdr:row>
      <xdr:rowOff>238125</xdr:rowOff>
    </xdr:from>
    <xdr:to>
      <xdr:col>23</xdr:col>
      <xdr:colOff>1209675</xdr:colOff>
      <xdr:row>23</xdr:row>
      <xdr:rowOff>161925</xdr:rowOff>
    </xdr:to>
    <xdr:graphicFrame macro="">
      <xdr:nvGraphicFramePr>
        <xdr:cNvPr id="14" name="Chart 13">
          <a:extLst>
            <a:ext uri="{FF2B5EF4-FFF2-40B4-BE49-F238E27FC236}">
              <a16:creationId xmlns:a16="http://schemas.microsoft.com/office/drawing/2014/main" id="{32735BD8-DA97-E169-87E3-B1E588D53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777875</xdr:colOff>
      <xdr:row>5</xdr:row>
      <xdr:rowOff>22225</xdr:rowOff>
    </xdr:from>
    <xdr:to>
      <xdr:col>30</xdr:col>
      <xdr:colOff>247650</xdr:colOff>
      <xdr:row>19</xdr:row>
      <xdr:rowOff>12701</xdr:rowOff>
    </xdr:to>
    <xdr:graphicFrame macro="">
      <xdr:nvGraphicFramePr>
        <xdr:cNvPr id="15" name="Chart 14">
          <a:extLst>
            <a:ext uri="{FF2B5EF4-FFF2-40B4-BE49-F238E27FC236}">
              <a16:creationId xmlns:a16="http://schemas.microsoft.com/office/drawing/2014/main" id="{68EC00F8-207E-BF1C-DE58-92A53452F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276225</xdr:colOff>
      <xdr:row>2</xdr:row>
      <xdr:rowOff>28575</xdr:rowOff>
    </xdr:from>
    <xdr:to>
      <xdr:col>48</xdr:col>
      <xdr:colOff>327025</xdr:colOff>
      <xdr:row>15</xdr:row>
      <xdr:rowOff>53975</xdr:rowOff>
    </xdr:to>
    <xdr:graphicFrame macro="">
      <xdr:nvGraphicFramePr>
        <xdr:cNvPr id="16" name="Chart 15">
          <a:extLst>
            <a:ext uri="{FF2B5EF4-FFF2-40B4-BE49-F238E27FC236}">
              <a16:creationId xmlns:a16="http://schemas.microsoft.com/office/drawing/2014/main" id="{BE4E48CD-6184-8D83-C634-D8C997B44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56</xdr:col>
      <xdr:colOff>212725</xdr:colOff>
      <xdr:row>6</xdr:row>
      <xdr:rowOff>73025</xdr:rowOff>
    </xdr:from>
    <xdr:to>
      <xdr:col>59</xdr:col>
      <xdr:colOff>860425</xdr:colOff>
      <xdr:row>20</xdr:row>
      <xdr:rowOff>92075</xdr:rowOff>
    </xdr:to>
    <xdr:graphicFrame macro="">
      <xdr:nvGraphicFramePr>
        <xdr:cNvPr id="17" name="Chart 16">
          <a:extLst>
            <a:ext uri="{FF2B5EF4-FFF2-40B4-BE49-F238E27FC236}">
              <a16:creationId xmlns:a16="http://schemas.microsoft.com/office/drawing/2014/main" id="{E1F5E9FB-38E2-855A-11AB-567C7807A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50</xdr:col>
      <xdr:colOff>136525</xdr:colOff>
      <xdr:row>3</xdr:row>
      <xdr:rowOff>180975</xdr:rowOff>
    </xdr:from>
    <xdr:to>
      <xdr:col>54</xdr:col>
      <xdr:colOff>352425</xdr:colOff>
      <xdr:row>17</xdr:row>
      <xdr:rowOff>85725</xdr:rowOff>
    </xdr:to>
    <xdr:graphicFrame macro="">
      <xdr:nvGraphicFramePr>
        <xdr:cNvPr id="18" name="Chart 17">
          <a:extLst>
            <a:ext uri="{FF2B5EF4-FFF2-40B4-BE49-F238E27FC236}">
              <a16:creationId xmlns:a16="http://schemas.microsoft.com/office/drawing/2014/main" id="{F5CFE967-DE03-3443-6CD2-F0F3F14F0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497418</xdr:colOff>
      <xdr:row>0</xdr:row>
      <xdr:rowOff>37193</xdr:rowOff>
    </xdr:from>
    <xdr:to>
      <xdr:col>19</xdr:col>
      <xdr:colOff>27215</xdr:colOff>
      <xdr:row>25</xdr:row>
      <xdr:rowOff>74083</xdr:rowOff>
    </xdr:to>
    <xdr:sp macro="" textlink="">
      <xdr:nvSpPr>
        <xdr:cNvPr id="8" name="Rectangle: Rounded Corners 7">
          <a:extLst>
            <a:ext uri="{FF2B5EF4-FFF2-40B4-BE49-F238E27FC236}">
              <a16:creationId xmlns:a16="http://schemas.microsoft.com/office/drawing/2014/main" id="{0E75151D-7F7F-E43D-43FA-540000A8DFA1}"/>
            </a:ext>
          </a:extLst>
        </xdr:cNvPr>
        <xdr:cNvSpPr/>
      </xdr:nvSpPr>
      <xdr:spPr>
        <a:xfrm>
          <a:off x="9704918" y="37193"/>
          <a:ext cx="1985130" cy="4534807"/>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101600</xdr:colOff>
      <xdr:row>8</xdr:row>
      <xdr:rowOff>25400</xdr:rowOff>
    </xdr:from>
    <xdr:to>
      <xdr:col>6</xdr:col>
      <xdr:colOff>145143</xdr:colOff>
      <xdr:row>15</xdr:row>
      <xdr:rowOff>107950</xdr:rowOff>
    </xdr:to>
    <xdr:sp macro="" textlink="">
      <xdr:nvSpPr>
        <xdr:cNvPr id="9" name="Rectangle: Rounded Corners 8">
          <a:extLst>
            <a:ext uri="{FF2B5EF4-FFF2-40B4-BE49-F238E27FC236}">
              <a16:creationId xmlns:a16="http://schemas.microsoft.com/office/drawing/2014/main" id="{C9CF8338-123D-508C-3094-B3BC77077C92}"/>
            </a:ext>
          </a:extLst>
        </xdr:cNvPr>
        <xdr:cNvSpPr/>
      </xdr:nvSpPr>
      <xdr:spPr>
        <a:xfrm>
          <a:off x="101600" y="1476829"/>
          <a:ext cx="3690257" cy="13525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258306</xdr:colOff>
      <xdr:row>7</xdr:row>
      <xdr:rowOff>163285</xdr:rowOff>
    </xdr:from>
    <xdr:to>
      <xdr:col>11</xdr:col>
      <xdr:colOff>72571</xdr:colOff>
      <xdr:row>16</xdr:row>
      <xdr:rowOff>10762</xdr:rowOff>
    </xdr:to>
    <xdr:sp macro="" textlink="">
      <xdr:nvSpPr>
        <xdr:cNvPr id="10" name="Rectangle: Rounded Corners 9">
          <a:extLst>
            <a:ext uri="{FF2B5EF4-FFF2-40B4-BE49-F238E27FC236}">
              <a16:creationId xmlns:a16="http://schemas.microsoft.com/office/drawing/2014/main" id="{D15B5A0B-E5FA-C401-1308-4B2DD0666054}"/>
            </a:ext>
          </a:extLst>
        </xdr:cNvPr>
        <xdr:cNvSpPr/>
      </xdr:nvSpPr>
      <xdr:spPr>
        <a:xfrm>
          <a:off x="3939153" y="1444048"/>
          <a:ext cx="2881638" cy="149417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235857</xdr:colOff>
      <xdr:row>8</xdr:row>
      <xdr:rowOff>31750</xdr:rowOff>
    </xdr:from>
    <xdr:to>
      <xdr:col>15</xdr:col>
      <xdr:colOff>393700</xdr:colOff>
      <xdr:row>15</xdr:row>
      <xdr:rowOff>76200</xdr:rowOff>
    </xdr:to>
    <xdr:sp macro="" textlink="">
      <xdr:nvSpPr>
        <xdr:cNvPr id="11" name="Rectangle: Rounded Corners 10">
          <a:extLst>
            <a:ext uri="{FF2B5EF4-FFF2-40B4-BE49-F238E27FC236}">
              <a16:creationId xmlns:a16="http://schemas.microsoft.com/office/drawing/2014/main" id="{7A17D601-3F4B-5C12-E112-C3F97C39830E}"/>
            </a:ext>
          </a:extLst>
        </xdr:cNvPr>
        <xdr:cNvSpPr/>
      </xdr:nvSpPr>
      <xdr:spPr>
        <a:xfrm>
          <a:off x="6921500" y="1483179"/>
          <a:ext cx="2588986" cy="131445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119064</xdr:colOff>
      <xdr:row>16</xdr:row>
      <xdr:rowOff>63500</xdr:rowOff>
    </xdr:from>
    <xdr:to>
      <xdr:col>7</xdr:col>
      <xdr:colOff>63501</xdr:colOff>
      <xdr:row>24</xdr:row>
      <xdr:rowOff>145143</xdr:rowOff>
    </xdr:to>
    <xdr:sp macro="" textlink="">
      <xdr:nvSpPr>
        <xdr:cNvPr id="12" name="Rectangle: Rounded Corners 11">
          <a:extLst>
            <a:ext uri="{FF2B5EF4-FFF2-40B4-BE49-F238E27FC236}">
              <a16:creationId xmlns:a16="http://schemas.microsoft.com/office/drawing/2014/main" id="{E1C2279A-85B7-4E66-6577-A6F612C23458}"/>
            </a:ext>
          </a:extLst>
        </xdr:cNvPr>
        <xdr:cNvSpPr/>
      </xdr:nvSpPr>
      <xdr:spPr>
        <a:xfrm>
          <a:off x="119064" y="2984500"/>
          <a:ext cx="4222750" cy="154214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126092</xdr:colOff>
      <xdr:row>17</xdr:row>
      <xdr:rowOff>10763</xdr:rowOff>
    </xdr:from>
    <xdr:to>
      <xdr:col>11</xdr:col>
      <xdr:colOff>214992</xdr:colOff>
      <xdr:row>25</xdr:row>
      <xdr:rowOff>32658</xdr:rowOff>
    </xdr:to>
    <xdr:sp macro="" textlink="">
      <xdr:nvSpPr>
        <xdr:cNvPr id="13" name="Rectangle: Rounded Corners 12">
          <a:extLst>
            <a:ext uri="{FF2B5EF4-FFF2-40B4-BE49-F238E27FC236}">
              <a16:creationId xmlns:a16="http://schemas.microsoft.com/office/drawing/2014/main" id="{66872100-9336-80A8-44A0-B45CFFA8B0FF}"/>
            </a:ext>
          </a:extLst>
        </xdr:cNvPr>
        <xdr:cNvSpPr/>
      </xdr:nvSpPr>
      <xdr:spPr>
        <a:xfrm>
          <a:off x="4420414" y="3121187"/>
          <a:ext cx="2542798" cy="148562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368527</xdr:colOff>
      <xdr:row>17</xdr:row>
      <xdr:rowOff>87312</xdr:rowOff>
    </xdr:from>
    <xdr:to>
      <xdr:col>15</xdr:col>
      <xdr:colOff>373063</xdr:colOff>
      <xdr:row>25</xdr:row>
      <xdr:rowOff>23812</xdr:rowOff>
    </xdr:to>
    <xdr:sp macro="" textlink="">
      <xdr:nvSpPr>
        <xdr:cNvPr id="14" name="Rectangle: Rounded Corners 13">
          <a:extLst>
            <a:ext uri="{FF2B5EF4-FFF2-40B4-BE49-F238E27FC236}">
              <a16:creationId xmlns:a16="http://schemas.microsoft.com/office/drawing/2014/main" id="{9024DECA-07BD-21AF-1487-245031069E2F}"/>
            </a:ext>
          </a:extLst>
        </xdr:cNvPr>
        <xdr:cNvSpPr/>
      </xdr:nvSpPr>
      <xdr:spPr>
        <a:xfrm>
          <a:off x="7091590" y="3190875"/>
          <a:ext cx="2449286" cy="1397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15</xdr:col>
      <xdr:colOff>526142</xdr:colOff>
      <xdr:row>2</xdr:row>
      <xdr:rowOff>88900</xdr:rowOff>
    </xdr:to>
    <xdr:sp macro="" textlink="">
      <xdr:nvSpPr>
        <xdr:cNvPr id="16" name="TextBox 15">
          <a:extLst>
            <a:ext uri="{FF2B5EF4-FFF2-40B4-BE49-F238E27FC236}">
              <a16:creationId xmlns:a16="http://schemas.microsoft.com/office/drawing/2014/main" id="{898F0E25-6E75-23E2-A5E5-EA02F71DEC1E}"/>
            </a:ext>
          </a:extLst>
        </xdr:cNvPr>
        <xdr:cNvSpPr txBox="1"/>
      </xdr:nvSpPr>
      <xdr:spPr>
        <a:xfrm>
          <a:off x="0" y="0"/>
          <a:ext cx="9642928" cy="451757"/>
        </a:xfrm>
        <a:prstGeom prst="rect">
          <a:avLst/>
        </a:prstGeom>
        <a:solidFill>
          <a:srgbClr val="00B0F0"/>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2">
                  <a:lumMod val="50000"/>
                </a:schemeClr>
              </a:solidFill>
              <a:latin typeface="Times" panose="020B0500000000000000" pitchFamily="34" charset="0"/>
              <a:ea typeface="Times" panose="020B0500000000000000" pitchFamily="34" charset="0"/>
              <a:cs typeface="Times" panose="020B0500000000000000" pitchFamily="34" charset="0"/>
            </a:rPr>
            <a:t>            </a:t>
          </a:r>
          <a:r>
            <a:rPr lang="en-US" sz="2000" b="1">
              <a:solidFill>
                <a:schemeClr val="bg1"/>
              </a:solidFill>
              <a:latin typeface="Times" panose="020B0500000000000000" pitchFamily="34" charset="0"/>
              <a:ea typeface="Times" panose="020B0500000000000000" pitchFamily="34" charset="0"/>
              <a:cs typeface="Times" panose="020B0500000000000000" pitchFamily="34" charset="0"/>
            </a:rPr>
            <a:t>Birth Preparedness</a:t>
          </a:r>
          <a:r>
            <a:rPr lang="en-US" sz="2000" b="1" baseline="0">
              <a:solidFill>
                <a:schemeClr val="bg1"/>
              </a:solidFill>
              <a:latin typeface="Times" panose="020B0500000000000000" pitchFamily="34" charset="0"/>
              <a:ea typeface="Times" panose="020B0500000000000000" pitchFamily="34" charset="0"/>
              <a:cs typeface="Times" panose="020B0500000000000000" pitchFamily="34" charset="0"/>
            </a:rPr>
            <a:t> &amp; Compication Redness In Hargeisa Somaliland Dashboard</a:t>
          </a:r>
          <a:endParaRPr lang="en-US" sz="2000" b="1">
            <a:solidFill>
              <a:schemeClr val="bg1"/>
            </a:solidFill>
            <a:latin typeface="Times" panose="020B0500000000000000" pitchFamily="34" charset="0"/>
            <a:ea typeface="Times" panose="020B0500000000000000" pitchFamily="34" charset="0"/>
            <a:cs typeface="Times" panose="020B0500000000000000" pitchFamily="34" charset="0"/>
          </a:endParaRPr>
        </a:p>
      </xdr:txBody>
    </xdr:sp>
    <xdr:clientData/>
  </xdr:twoCellAnchor>
  <xdr:twoCellAnchor>
    <xdr:from>
      <xdr:col>6</xdr:col>
      <xdr:colOff>312120</xdr:colOff>
      <xdr:row>8</xdr:row>
      <xdr:rowOff>21525</xdr:rowOff>
    </xdr:from>
    <xdr:to>
      <xdr:col>10</xdr:col>
      <xdr:colOff>516610</xdr:colOff>
      <xdr:row>15</xdr:row>
      <xdr:rowOff>139915</xdr:rowOff>
    </xdr:to>
    <xdr:graphicFrame macro="">
      <xdr:nvGraphicFramePr>
        <xdr:cNvPr id="27" name="Chart 26">
          <a:extLst>
            <a:ext uri="{FF2B5EF4-FFF2-40B4-BE49-F238E27FC236}">
              <a16:creationId xmlns:a16="http://schemas.microsoft.com/office/drawing/2014/main" id="{39FD834E-1753-4186-B279-604851358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134938</xdr:colOff>
      <xdr:row>16</xdr:row>
      <xdr:rowOff>99786</xdr:rowOff>
    </xdr:from>
    <xdr:to>
      <xdr:col>6</xdr:col>
      <xdr:colOff>589642</xdr:colOff>
      <xdr:row>24</xdr:row>
      <xdr:rowOff>108856</xdr:rowOff>
    </xdr:to>
    <xdr:graphicFrame macro="">
      <xdr:nvGraphicFramePr>
        <xdr:cNvPr id="28" name="Chart 27">
          <a:extLst>
            <a:ext uri="{FF2B5EF4-FFF2-40B4-BE49-F238E27FC236}">
              <a16:creationId xmlns:a16="http://schemas.microsoft.com/office/drawing/2014/main" id="{8E7DF7D8-F2A7-4B80-B1FE-D48BB6232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272143</xdr:colOff>
      <xdr:row>8</xdr:row>
      <xdr:rowOff>6350</xdr:rowOff>
    </xdr:from>
    <xdr:to>
      <xdr:col>15</xdr:col>
      <xdr:colOff>508000</xdr:colOff>
      <xdr:row>15</xdr:row>
      <xdr:rowOff>114300</xdr:rowOff>
    </xdr:to>
    <xdr:graphicFrame macro="">
      <xdr:nvGraphicFramePr>
        <xdr:cNvPr id="30" name="Chart 29">
          <a:extLst>
            <a:ext uri="{FF2B5EF4-FFF2-40B4-BE49-F238E27FC236}">
              <a16:creationId xmlns:a16="http://schemas.microsoft.com/office/drawing/2014/main" id="{D648D1D8-C127-4313-BF68-16BD4E4C9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81644</xdr:colOff>
      <xdr:row>3</xdr:row>
      <xdr:rowOff>0</xdr:rowOff>
    </xdr:from>
    <xdr:to>
      <xdr:col>2</xdr:col>
      <xdr:colOff>344715</xdr:colOff>
      <xdr:row>7</xdr:row>
      <xdr:rowOff>63500</xdr:rowOff>
    </xdr:to>
    <xdr:grpSp>
      <xdr:nvGrpSpPr>
        <xdr:cNvPr id="32" name="Group 31">
          <a:extLst>
            <a:ext uri="{FF2B5EF4-FFF2-40B4-BE49-F238E27FC236}">
              <a16:creationId xmlns:a16="http://schemas.microsoft.com/office/drawing/2014/main" id="{2E3D222A-0CD3-F2C2-2DB5-55183A635F28}"/>
            </a:ext>
          </a:extLst>
        </xdr:cNvPr>
        <xdr:cNvGrpSpPr/>
      </xdr:nvGrpSpPr>
      <xdr:grpSpPr>
        <a:xfrm>
          <a:off x="81644" y="544286"/>
          <a:ext cx="1481234" cy="789214"/>
          <a:chOff x="222250" y="596900"/>
          <a:chExt cx="1377950" cy="800100"/>
        </a:xfrm>
      </xdr:grpSpPr>
      <xdr:sp macro="" textlink="">
        <xdr:nvSpPr>
          <xdr:cNvPr id="2" name="Rectangle: Rounded Corners 1">
            <a:extLst>
              <a:ext uri="{FF2B5EF4-FFF2-40B4-BE49-F238E27FC236}">
                <a16:creationId xmlns:a16="http://schemas.microsoft.com/office/drawing/2014/main" id="{A7214AEF-1C08-3EF4-48AD-028177244466}"/>
              </a:ext>
            </a:extLst>
          </xdr:cNvPr>
          <xdr:cNvSpPr/>
        </xdr:nvSpPr>
        <xdr:spPr>
          <a:xfrm>
            <a:off x="241300" y="596900"/>
            <a:ext cx="1339850" cy="7239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B3C2793D-6775-7B61-7114-F33552C7B739}"/>
              </a:ext>
            </a:extLst>
          </xdr:cNvPr>
          <xdr:cNvSpPr/>
        </xdr:nvSpPr>
        <xdr:spPr>
          <a:xfrm>
            <a:off x="222250" y="673100"/>
            <a:ext cx="1377950" cy="7239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400" b="1" i="0" u="none" strike="noStrike">
                <a:solidFill>
                  <a:schemeClr val="dk1"/>
                </a:solidFill>
                <a:effectLst/>
                <a:latin typeface="Times" panose="020B0500000000000000" pitchFamily="34" charset="0"/>
                <a:ea typeface="Times" panose="020B0500000000000000" pitchFamily="34" charset="0"/>
                <a:cs typeface="Times" panose="020B0500000000000000" pitchFamily="34" charset="0"/>
              </a:rPr>
              <a:t> </a:t>
            </a:r>
            <a:endParaRPr lang="en-US" sz="1400">
              <a:latin typeface="Times" panose="020B0500000000000000" pitchFamily="34" charset="0"/>
              <a:ea typeface="Times" panose="020B0500000000000000" pitchFamily="34" charset="0"/>
              <a:cs typeface="Times" panose="020B0500000000000000" pitchFamily="34" charset="0"/>
            </a:endParaRPr>
          </a:p>
        </xdr:txBody>
      </xdr:sp>
    </xdr:grpSp>
    <xdr:clientData/>
  </xdr:twoCellAnchor>
  <xdr:twoCellAnchor>
    <xdr:from>
      <xdr:col>2</xdr:col>
      <xdr:colOff>453572</xdr:colOff>
      <xdr:row>3</xdr:row>
      <xdr:rowOff>0</xdr:rowOff>
    </xdr:from>
    <xdr:to>
      <xdr:col>5</xdr:col>
      <xdr:colOff>526142</xdr:colOff>
      <xdr:row>7</xdr:row>
      <xdr:rowOff>63500</xdr:rowOff>
    </xdr:to>
    <xdr:grpSp>
      <xdr:nvGrpSpPr>
        <xdr:cNvPr id="33" name="Group 32">
          <a:extLst>
            <a:ext uri="{FF2B5EF4-FFF2-40B4-BE49-F238E27FC236}">
              <a16:creationId xmlns:a16="http://schemas.microsoft.com/office/drawing/2014/main" id="{E6403B99-B032-2437-E985-3321AAD9225D}"/>
            </a:ext>
          </a:extLst>
        </xdr:cNvPr>
        <xdr:cNvGrpSpPr/>
      </xdr:nvGrpSpPr>
      <xdr:grpSpPr>
        <a:xfrm>
          <a:off x="1671735" y="544286"/>
          <a:ext cx="1899815" cy="789214"/>
          <a:chOff x="222250" y="596900"/>
          <a:chExt cx="1377950" cy="800100"/>
        </a:xfrm>
      </xdr:grpSpPr>
      <xdr:sp macro="" textlink="">
        <xdr:nvSpPr>
          <xdr:cNvPr id="34" name="Rectangle: Rounded Corners 33">
            <a:extLst>
              <a:ext uri="{FF2B5EF4-FFF2-40B4-BE49-F238E27FC236}">
                <a16:creationId xmlns:a16="http://schemas.microsoft.com/office/drawing/2014/main" id="{7EB2D8E4-F184-5E0D-D772-3292CB519F51}"/>
              </a:ext>
            </a:extLst>
          </xdr:cNvPr>
          <xdr:cNvSpPr/>
        </xdr:nvSpPr>
        <xdr:spPr>
          <a:xfrm>
            <a:off x="241300" y="596900"/>
            <a:ext cx="1339850" cy="7239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sp macro="" textlink="">
        <xdr:nvSpPr>
          <xdr:cNvPr id="35" name="Rectangle: Rounded Corners 34">
            <a:extLst>
              <a:ext uri="{FF2B5EF4-FFF2-40B4-BE49-F238E27FC236}">
                <a16:creationId xmlns:a16="http://schemas.microsoft.com/office/drawing/2014/main" id="{A44B7359-565F-4B53-7AF8-FEFB5BE7ECFB}"/>
              </a:ext>
            </a:extLst>
          </xdr:cNvPr>
          <xdr:cNvSpPr/>
        </xdr:nvSpPr>
        <xdr:spPr>
          <a:xfrm>
            <a:off x="222250" y="673100"/>
            <a:ext cx="1377950" cy="7239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grpSp>
    <xdr:clientData/>
  </xdr:twoCellAnchor>
  <xdr:twoCellAnchor>
    <xdr:from>
      <xdr:col>6</xdr:col>
      <xdr:colOff>82549</xdr:colOff>
      <xdr:row>2</xdr:row>
      <xdr:rowOff>158750</xdr:rowOff>
    </xdr:from>
    <xdr:to>
      <xdr:col>9</xdr:col>
      <xdr:colOff>45357</xdr:colOff>
      <xdr:row>7</xdr:row>
      <xdr:rowOff>38100</xdr:rowOff>
    </xdr:to>
    <xdr:grpSp>
      <xdr:nvGrpSpPr>
        <xdr:cNvPr id="36" name="Group 35">
          <a:extLst>
            <a:ext uri="{FF2B5EF4-FFF2-40B4-BE49-F238E27FC236}">
              <a16:creationId xmlns:a16="http://schemas.microsoft.com/office/drawing/2014/main" id="{3F4B2A50-6509-7770-EBE5-38A957FC8C70}"/>
            </a:ext>
          </a:extLst>
        </xdr:cNvPr>
        <xdr:cNvGrpSpPr/>
      </xdr:nvGrpSpPr>
      <xdr:grpSpPr>
        <a:xfrm>
          <a:off x="3737039" y="521607"/>
          <a:ext cx="1790053" cy="786493"/>
          <a:chOff x="222250" y="596900"/>
          <a:chExt cx="1377950" cy="800100"/>
        </a:xfrm>
      </xdr:grpSpPr>
      <xdr:sp macro="" textlink="">
        <xdr:nvSpPr>
          <xdr:cNvPr id="37" name="Rectangle: Rounded Corners 36">
            <a:extLst>
              <a:ext uri="{FF2B5EF4-FFF2-40B4-BE49-F238E27FC236}">
                <a16:creationId xmlns:a16="http://schemas.microsoft.com/office/drawing/2014/main" id="{5DC2D1BE-A2E9-A926-7362-85AA8DAD1998}"/>
              </a:ext>
            </a:extLst>
          </xdr:cNvPr>
          <xdr:cNvSpPr/>
        </xdr:nvSpPr>
        <xdr:spPr>
          <a:xfrm>
            <a:off x="241300" y="596900"/>
            <a:ext cx="1339850" cy="7239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sp macro="" textlink="">
        <xdr:nvSpPr>
          <xdr:cNvPr id="38" name="Rectangle: Rounded Corners 37">
            <a:extLst>
              <a:ext uri="{FF2B5EF4-FFF2-40B4-BE49-F238E27FC236}">
                <a16:creationId xmlns:a16="http://schemas.microsoft.com/office/drawing/2014/main" id="{C1382686-9C57-8D44-0DEE-49367EEBE617}"/>
              </a:ext>
            </a:extLst>
          </xdr:cNvPr>
          <xdr:cNvSpPr/>
        </xdr:nvSpPr>
        <xdr:spPr>
          <a:xfrm>
            <a:off x="222250" y="673100"/>
            <a:ext cx="1377950" cy="7239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grpSp>
    <xdr:clientData/>
  </xdr:twoCellAnchor>
  <xdr:twoCellAnchor>
    <xdr:from>
      <xdr:col>9</xdr:col>
      <xdr:colOff>172358</xdr:colOff>
      <xdr:row>2</xdr:row>
      <xdr:rowOff>171450</xdr:rowOff>
    </xdr:from>
    <xdr:to>
      <xdr:col>12</xdr:col>
      <xdr:colOff>226784</xdr:colOff>
      <xdr:row>7</xdr:row>
      <xdr:rowOff>50800</xdr:rowOff>
    </xdr:to>
    <xdr:grpSp>
      <xdr:nvGrpSpPr>
        <xdr:cNvPr id="39" name="Group 38">
          <a:extLst>
            <a:ext uri="{FF2B5EF4-FFF2-40B4-BE49-F238E27FC236}">
              <a16:creationId xmlns:a16="http://schemas.microsoft.com/office/drawing/2014/main" id="{C0517B77-A185-CD82-93C9-B542DA9DA170}"/>
            </a:ext>
          </a:extLst>
        </xdr:cNvPr>
        <xdr:cNvGrpSpPr/>
      </xdr:nvGrpSpPr>
      <xdr:grpSpPr>
        <a:xfrm>
          <a:off x="5654093" y="534307"/>
          <a:ext cx="1881671" cy="786493"/>
          <a:chOff x="222250" y="596900"/>
          <a:chExt cx="1469432" cy="800100"/>
        </a:xfrm>
      </xdr:grpSpPr>
      <xdr:sp macro="" textlink="">
        <xdr:nvSpPr>
          <xdr:cNvPr id="40" name="Rectangle: Rounded Corners 39">
            <a:extLst>
              <a:ext uri="{FF2B5EF4-FFF2-40B4-BE49-F238E27FC236}">
                <a16:creationId xmlns:a16="http://schemas.microsoft.com/office/drawing/2014/main" id="{4C4E507F-0511-AD6B-CB67-C516BC2FE8F9}"/>
              </a:ext>
            </a:extLst>
          </xdr:cNvPr>
          <xdr:cNvSpPr/>
        </xdr:nvSpPr>
        <xdr:spPr>
          <a:xfrm>
            <a:off x="241299" y="596900"/>
            <a:ext cx="1438947" cy="7239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sp macro="" textlink="">
        <xdr:nvSpPr>
          <xdr:cNvPr id="41" name="Rectangle: Rounded Corners 40">
            <a:extLst>
              <a:ext uri="{FF2B5EF4-FFF2-40B4-BE49-F238E27FC236}">
                <a16:creationId xmlns:a16="http://schemas.microsoft.com/office/drawing/2014/main" id="{504DBD73-C089-4081-EC8A-A84FE874EA1C}"/>
              </a:ext>
            </a:extLst>
          </xdr:cNvPr>
          <xdr:cNvSpPr/>
        </xdr:nvSpPr>
        <xdr:spPr>
          <a:xfrm>
            <a:off x="222250" y="673100"/>
            <a:ext cx="1469432" cy="7239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grpSp>
    <xdr:clientData/>
  </xdr:twoCellAnchor>
  <xdr:twoCellAnchor>
    <xdr:from>
      <xdr:col>12</xdr:col>
      <xdr:colOff>444498</xdr:colOff>
      <xdr:row>2</xdr:row>
      <xdr:rowOff>171450</xdr:rowOff>
    </xdr:from>
    <xdr:to>
      <xdr:col>15</xdr:col>
      <xdr:colOff>444498</xdr:colOff>
      <xdr:row>7</xdr:row>
      <xdr:rowOff>50800</xdr:rowOff>
    </xdr:to>
    <xdr:grpSp>
      <xdr:nvGrpSpPr>
        <xdr:cNvPr id="42" name="Group 41">
          <a:extLst>
            <a:ext uri="{FF2B5EF4-FFF2-40B4-BE49-F238E27FC236}">
              <a16:creationId xmlns:a16="http://schemas.microsoft.com/office/drawing/2014/main" id="{81357575-7340-7AD5-7318-84C63CA945D9}"/>
            </a:ext>
          </a:extLst>
        </xdr:cNvPr>
        <xdr:cNvGrpSpPr/>
      </xdr:nvGrpSpPr>
      <xdr:grpSpPr>
        <a:xfrm>
          <a:off x="7753478" y="534307"/>
          <a:ext cx="1827244" cy="786493"/>
          <a:chOff x="222250" y="596900"/>
          <a:chExt cx="1377950" cy="800100"/>
        </a:xfrm>
      </xdr:grpSpPr>
      <xdr:sp macro="" textlink="">
        <xdr:nvSpPr>
          <xdr:cNvPr id="43" name="Rectangle: Rounded Corners 42">
            <a:extLst>
              <a:ext uri="{FF2B5EF4-FFF2-40B4-BE49-F238E27FC236}">
                <a16:creationId xmlns:a16="http://schemas.microsoft.com/office/drawing/2014/main" id="{435AF783-E74F-BC80-5A4B-3A6D13752143}"/>
              </a:ext>
            </a:extLst>
          </xdr:cNvPr>
          <xdr:cNvSpPr/>
        </xdr:nvSpPr>
        <xdr:spPr>
          <a:xfrm>
            <a:off x="241300" y="596900"/>
            <a:ext cx="1339850" cy="7239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US" sz="1100"/>
          </a:p>
        </xdr:txBody>
      </xdr:sp>
      <xdr:sp macro="" textlink="">
        <xdr:nvSpPr>
          <xdr:cNvPr id="44" name="Rectangle: Rounded Corners 43">
            <a:extLst>
              <a:ext uri="{FF2B5EF4-FFF2-40B4-BE49-F238E27FC236}">
                <a16:creationId xmlns:a16="http://schemas.microsoft.com/office/drawing/2014/main" id="{C1631F73-B627-88C3-7F1C-EA021A52B552}"/>
              </a:ext>
            </a:extLst>
          </xdr:cNvPr>
          <xdr:cNvSpPr/>
        </xdr:nvSpPr>
        <xdr:spPr>
          <a:xfrm>
            <a:off x="222250" y="673100"/>
            <a:ext cx="1377950" cy="7239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grpSp>
    <xdr:clientData/>
  </xdr:twoCellAnchor>
  <xdr:twoCellAnchor>
    <xdr:from>
      <xdr:col>0</xdr:col>
      <xdr:colOff>117021</xdr:colOff>
      <xdr:row>3</xdr:row>
      <xdr:rowOff>103414</xdr:rowOff>
    </xdr:from>
    <xdr:to>
      <xdr:col>0</xdr:col>
      <xdr:colOff>351971</xdr:colOff>
      <xdr:row>4</xdr:row>
      <xdr:rowOff>151493</xdr:rowOff>
    </xdr:to>
    <xdr:pic>
      <xdr:nvPicPr>
        <xdr:cNvPr id="45" name="Picture 44" descr="Women - Free people icons">
          <a:extLst>
            <a:ext uri="{FF2B5EF4-FFF2-40B4-BE49-F238E27FC236}">
              <a16:creationId xmlns:a16="http://schemas.microsoft.com/office/drawing/2014/main" id="{8F8513B3-4A0C-2DB4-6777-3D18BD7250F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7021" y="647700"/>
          <a:ext cx="234950" cy="2295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496207</xdr:colOff>
      <xdr:row>3</xdr:row>
      <xdr:rowOff>107950</xdr:rowOff>
    </xdr:from>
    <xdr:to>
      <xdr:col>3</xdr:col>
      <xdr:colOff>110671</xdr:colOff>
      <xdr:row>4</xdr:row>
      <xdr:rowOff>146050</xdr:rowOff>
    </xdr:to>
    <xdr:pic>
      <xdr:nvPicPr>
        <xdr:cNvPr id="46" name="Picture 45">
          <a:extLst>
            <a:ext uri="{FF2B5EF4-FFF2-40B4-BE49-F238E27FC236}">
              <a16:creationId xmlns:a16="http://schemas.microsoft.com/office/drawing/2014/main" id="{66CC127D-3613-EAF1-0977-88B0AB8F72F9}"/>
            </a:ext>
          </a:extLst>
        </xdr:cNvPr>
        <xdr:cNvPicPr>
          <a:picLocks noChangeAspect="1"/>
        </xdr:cNvPicPr>
      </xdr:nvPicPr>
      <xdr:blipFill>
        <a:blip xmlns:r="http://schemas.openxmlformats.org/officeDocument/2006/relationships" r:embed="rId5"/>
        <a:stretch>
          <a:fillRect/>
        </a:stretch>
      </xdr:blipFill>
      <xdr:spPr>
        <a:xfrm>
          <a:off x="1711778" y="652236"/>
          <a:ext cx="222250" cy="219528"/>
        </a:xfrm>
        <a:prstGeom prst="rect">
          <a:avLst/>
        </a:prstGeom>
      </xdr:spPr>
    </xdr:pic>
    <xdr:clientData/>
  </xdr:twoCellAnchor>
  <xdr:twoCellAnchor>
    <xdr:from>
      <xdr:col>6</xdr:col>
      <xdr:colOff>133350</xdr:colOff>
      <xdr:row>3</xdr:row>
      <xdr:rowOff>69850</xdr:rowOff>
    </xdr:from>
    <xdr:to>
      <xdr:col>6</xdr:col>
      <xdr:colOff>365115</xdr:colOff>
      <xdr:row>4</xdr:row>
      <xdr:rowOff>117929</xdr:rowOff>
    </xdr:to>
    <xdr:pic>
      <xdr:nvPicPr>
        <xdr:cNvPr id="47" name="Picture 46" descr="Practice - Free technology icons">
          <a:extLst>
            <a:ext uri="{FF2B5EF4-FFF2-40B4-BE49-F238E27FC236}">
              <a16:creationId xmlns:a16="http://schemas.microsoft.com/office/drawing/2014/main" id="{480CC0B8-17EF-7886-76AD-A63EFD5034C1}"/>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780064" y="614136"/>
          <a:ext cx="231765" cy="2295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234950</xdr:colOff>
      <xdr:row>3</xdr:row>
      <xdr:rowOff>64407</xdr:rowOff>
    </xdr:from>
    <xdr:to>
      <xdr:col>9</xdr:col>
      <xdr:colOff>508000</xdr:colOff>
      <xdr:row>4</xdr:row>
      <xdr:rowOff>153307</xdr:rowOff>
    </xdr:to>
    <xdr:pic>
      <xdr:nvPicPr>
        <xdr:cNvPr id="48" name="Picture 47">
          <a:extLst>
            <a:ext uri="{FF2B5EF4-FFF2-40B4-BE49-F238E27FC236}">
              <a16:creationId xmlns:a16="http://schemas.microsoft.com/office/drawing/2014/main" id="{3F0C093C-AE83-060E-C03B-BA304238378F}"/>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10000" b="90000" l="10000" r="90000"/>
                  </a14:imgEffect>
                </a14:imgLayer>
              </a14:imgProps>
            </a:ext>
          </a:extLst>
        </a:blip>
        <a:stretch>
          <a:fillRect/>
        </a:stretch>
      </xdr:blipFill>
      <xdr:spPr>
        <a:xfrm>
          <a:off x="5705021" y="608693"/>
          <a:ext cx="273050" cy="270328"/>
        </a:xfrm>
        <a:prstGeom prst="rect">
          <a:avLst/>
        </a:prstGeom>
      </xdr:spPr>
    </xdr:pic>
    <xdr:clientData/>
  </xdr:twoCellAnchor>
  <xdr:twoCellAnchor>
    <xdr:from>
      <xdr:col>12</xdr:col>
      <xdr:colOff>480547</xdr:colOff>
      <xdr:row>3</xdr:row>
      <xdr:rowOff>107796</xdr:rowOff>
    </xdr:from>
    <xdr:to>
      <xdr:col>13</xdr:col>
      <xdr:colOff>117929</xdr:colOff>
      <xdr:row>4</xdr:row>
      <xdr:rowOff>168351</xdr:rowOff>
    </xdr:to>
    <xdr:pic>
      <xdr:nvPicPr>
        <xdr:cNvPr id="49" name="Picture 48">
          <a:extLst>
            <a:ext uri="{FF2B5EF4-FFF2-40B4-BE49-F238E27FC236}">
              <a16:creationId xmlns:a16="http://schemas.microsoft.com/office/drawing/2014/main" id="{32C76057-D2DB-115B-87DC-68BFC9219411}"/>
            </a:ext>
          </a:extLst>
        </xdr:cNvPr>
        <xdr:cNvPicPr>
          <a:picLocks noChangeAspect="1"/>
        </xdr:cNvPicPr>
      </xdr:nvPicPr>
      <xdr:blipFill>
        <a:blip xmlns:r="http://schemas.openxmlformats.org/officeDocument/2006/relationships" r:embed="rId9"/>
        <a:stretch>
          <a:fillRect/>
        </a:stretch>
      </xdr:blipFill>
      <xdr:spPr>
        <a:xfrm>
          <a:off x="7773976" y="652082"/>
          <a:ext cx="245167" cy="241983"/>
        </a:xfrm>
        <a:prstGeom prst="rect">
          <a:avLst/>
        </a:prstGeom>
      </xdr:spPr>
    </xdr:pic>
    <xdr:clientData/>
  </xdr:twoCellAnchor>
  <xdr:twoCellAnchor editAs="oneCell">
    <xdr:from>
      <xdr:col>0</xdr:col>
      <xdr:colOff>199571</xdr:colOff>
      <xdr:row>0</xdr:row>
      <xdr:rowOff>0</xdr:rowOff>
    </xdr:from>
    <xdr:to>
      <xdr:col>1</xdr:col>
      <xdr:colOff>98853</xdr:colOff>
      <xdr:row>2</xdr:row>
      <xdr:rowOff>127000</xdr:rowOff>
    </xdr:to>
    <xdr:pic>
      <xdr:nvPicPr>
        <xdr:cNvPr id="50" name="Picture 49" descr="Birth - Free healthcare and medical icons">
          <a:extLst>
            <a:ext uri="{FF2B5EF4-FFF2-40B4-BE49-F238E27FC236}">
              <a16:creationId xmlns:a16="http://schemas.microsoft.com/office/drawing/2014/main" id="{5EF47D68-DB3D-5B34-C39E-CE01B626863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99571" y="0"/>
          <a:ext cx="507068" cy="489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101600</xdr:colOff>
      <xdr:row>0</xdr:row>
      <xdr:rowOff>0</xdr:rowOff>
    </xdr:from>
    <xdr:to>
      <xdr:col>15</xdr:col>
      <xdr:colOff>482600</xdr:colOff>
      <xdr:row>2</xdr:row>
      <xdr:rowOff>12700</xdr:rowOff>
    </xdr:to>
    <xdr:pic>
      <xdr:nvPicPr>
        <xdr:cNvPr id="51" name="Picture 50" descr="Readiness - Free icons">
          <a:extLst>
            <a:ext uri="{FF2B5EF4-FFF2-40B4-BE49-F238E27FC236}">
              <a16:creationId xmlns:a16="http://schemas.microsoft.com/office/drawing/2014/main" id="{4ED9659F-397D-1686-71A7-BE5ACEE9B254}"/>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9245600" y="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335644</xdr:colOff>
      <xdr:row>3</xdr:row>
      <xdr:rowOff>82550</xdr:rowOff>
    </xdr:from>
    <xdr:to>
      <xdr:col>2</xdr:col>
      <xdr:colOff>190500</xdr:colOff>
      <xdr:row>5</xdr:row>
      <xdr:rowOff>114300</xdr:rowOff>
    </xdr:to>
    <xdr:sp macro="" textlink="">
      <xdr:nvSpPr>
        <xdr:cNvPr id="60" name="TextBox 59">
          <a:extLst>
            <a:ext uri="{FF2B5EF4-FFF2-40B4-BE49-F238E27FC236}">
              <a16:creationId xmlns:a16="http://schemas.microsoft.com/office/drawing/2014/main" id="{409D771C-355D-5A3F-2143-484B3117DE37}"/>
            </a:ext>
          </a:extLst>
        </xdr:cNvPr>
        <xdr:cNvSpPr txBox="1"/>
      </xdr:nvSpPr>
      <xdr:spPr>
        <a:xfrm>
          <a:off x="335644" y="626836"/>
          <a:ext cx="1070427" cy="394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rPr>
            <a:t>Respondensts</a:t>
          </a:r>
          <a:endParaRPr lang="en-US" sz="14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endParaRPr>
        </a:p>
      </xdr:txBody>
    </xdr:sp>
    <xdr:clientData/>
  </xdr:twoCellAnchor>
  <xdr:twoCellAnchor>
    <xdr:from>
      <xdr:col>3</xdr:col>
      <xdr:colOff>45357</xdr:colOff>
      <xdr:row>2</xdr:row>
      <xdr:rowOff>172357</xdr:rowOff>
    </xdr:from>
    <xdr:to>
      <xdr:col>5</xdr:col>
      <xdr:colOff>520700</xdr:colOff>
      <xdr:row>5</xdr:row>
      <xdr:rowOff>127000</xdr:rowOff>
    </xdr:to>
    <xdr:sp macro="" textlink="">
      <xdr:nvSpPr>
        <xdr:cNvPr id="62" name="TextBox 61">
          <a:extLst>
            <a:ext uri="{FF2B5EF4-FFF2-40B4-BE49-F238E27FC236}">
              <a16:creationId xmlns:a16="http://schemas.microsoft.com/office/drawing/2014/main" id="{26650898-0867-12B0-4B0C-BBE33DC11443}"/>
            </a:ext>
          </a:extLst>
        </xdr:cNvPr>
        <xdr:cNvSpPr txBox="1"/>
      </xdr:nvSpPr>
      <xdr:spPr>
        <a:xfrm>
          <a:off x="1868714" y="535214"/>
          <a:ext cx="1690915" cy="498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a:t> </a:t>
          </a:r>
          <a:r>
            <a:rPr lang="en-US" sz="1100" b="1">
              <a:solidFill>
                <a:schemeClr val="dk1"/>
              </a:solidFill>
              <a:effectLst/>
              <a:latin typeface="+mn-lt"/>
              <a:ea typeface="+mn-ea"/>
              <a:cs typeface="+mn-cs"/>
            </a:rPr>
            <a:t>Good BPCR Knowledge</a:t>
          </a:r>
          <a:endParaRPr lang="en-US" sz="1800">
            <a:effectLst/>
          </a:endParaRPr>
        </a:p>
        <a:p>
          <a:endParaRPr lang="en-US" sz="1100" b="1">
            <a:solidFill>
              <a:schemeClr val="tx2">
                <a:lumMod val="75000"/>
              </a:schemeClr>
            </a:solidFill>
          </a:endParaRPr>
        </a:p>
      </xdr:txBody>
    </xdr:sp>
    <xdr:clientData/>
  </xdr:twoCellAnchor>
  <xdr:twoCellAnchor>
    <xdr:from>
      <xdr:col>6</xdr:col>
      <xdr:colOff>281215</xdr:colOff>
      <xdr:row>3</xdr:row>
      <xdr:rowOff>19050</xdr:rowOff>
    </xdr:from>
    <xdr:to>
      <xdr:col>8</xdr:col>
      <xdr:colOff>596900</xdr:colOff>
      <xdr:row>6</xdr:row>
      <xdr:rowOff>9072</xdr:rowOff>
    </xdr:to>
    <xdr:sp macro="" textlink="">
      <xdr:nvSpPr>
        <xdr:cNvPr id="63" name="TextBox 62">
          <a:extLst>
            <a:ext uri="{FF2B5EF4-FFF2-40B4-BE49-F238E27FC236}">
              <a16:creationId xmlns:a16="http://schemas.microsoft.com/office/drawing/2014/main" id="{A6D82787-AFF9-D5D3-D5CF-87399EF1BA24}"/>
            </a:ext>
          </a:extLst>
        </xdr:cNvPr>
        <xdr:cNvSpPr txBox="1"/>
      </xdr:nvSpPr>
      <xdr:spPr>
        <a:xfrm>
          <a:off x="3927929" y="563336"/>
          <a:ext cx="1531257" cy="534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Good BPCR Practice</a:t>
          </a:r>
          <a:endParaRPr lang="en-US" sz="11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endParaRPr>
        </a:p>
      </xdr:txBody>
    </xdr:sp>
    <xdr:clientData/>
  </xdr:twoCellAnchor>
  <xdr:twoCellAnchor>
    <xdr:from>
      <xdr:col>9</xdr:col>
      <xdr:colOff>381000</xdr:colOff>
      <xdr:row>3</xdr:row>
      <xdr:rowOff>36284</xdr:rowOff>
    </xdr:from>
    <xdr:to>
      <xdr:col>12</xdr:col>
      <xdr:colOff>263070</xdr:colOff>
      <xdr:row>5</xdr:row>
      <xdr:rowOff>45356</xdr:rowOff>
    </xdr:to>
    <xdr:sp macro="" textlink="">
      <xdr:nvSpPr>
        <xdr:cNvPr id="64" name="TextBox 63">
          <a:extLst>
            <a:ext uri="{FF2B5EF4-FFF2-40B4-BE49-F238E27FC236}">
              <a16:creationId xmlns:a16="http://schemas.microsoft.com/office/drawing/2014/main" id="{9AFA8F58-C10D-4F30-9309-4070F1BFFCAF}"/>
            </a:ext>
          </a:extLst>
        </xdr:cNvPr>
        <xdr:cNvSpPr txBox="1"/>
      </xdr:nvSpPr>
      <xdr:spPr>
        <a:xfrm>
          <a:off x="5851071" y="580570"/>
          <a:ext cx="1705428" cy="371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rPr>
            <a:t>BPCR Health Education</a:t>
          </a:r>
        </a:p>
      </xdr:txBody>
    </xdr:sp>
    <xdr:clientData/>
  </xdr:twoCellAnchor>
  <xdr:twoCellAnchor>
    <xdr:from>
      <xdr:col>13</xdr:col>
      <xdr:colOff>163286</xdr:colOff>
      <xdr:row>3</xdr:row>
      <xdr:rowOff>82550</xdr:rowOff>
    </xdr:from>
    <xdr:to>
      <xdr:col>15</xdr:col>
      <xdr:colOff>408214</xdr:colOff>
      <xdr:row>5</xdr:row>
      <xdr:rowOff>120650</xdr:rowOff>
    </xdr:to>
    <xdr:sp macro="" textlink="">
      <xdr:nvSpPr>
        <xdr:cNvPr id="65" name="TextBox 64">
          <a:extLst>
            <a:ext uri="{FF2B5EF4-FFF2-40B4-BE49-F238E27FC236}">
              <a16:creationId xmlns:a16="http://schemas.microsoft.com/office/drawing/2014/main" id="{F7F75005-1257-B2CA-C399-1B5E54284EFE}"/>
            </a:ext>
          </a:extLst>
        </xdr:cNvPr>
        <xdr:cNvSpPr txBox="1"/>
      </xdr:nvSpPr>
      <xdr:spPr>
        <a:xfrm>
          <a:off x="8064500" y="626836"/>
          <a:ext cx="1460500" cy="40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75000"/>
                </a:schemeClr>
              </a:solidFill>
              <a:latin typeface="Times" panose="020B0500000000000000" pitchFamily="34" charset="0"/>
              <a:ea typeface="Times" panose="020B0500000000000000" pitchFamily="34" charset="0"/>
              <a:cs typeface="Times" panose="020B0500000000000000" pitchFamily="34" charset="0"/>
            </a:rPr>
            <a:t>Ever Attended ANC</a:t>
          </a:r>
        </a:p>
      </xdr:txBody>
    </xdr:sp>
    <xdr:clientData/>
  </xdr:twoCellAnchor>
  <xdr:twoCellAnchor>
    <xdr:from>
      <xdr:col>1</xdr:col>
      <xdr:colOff>165100</xdr:colOff>
      <xdr:row>4</xdr:row>
      <xdr:rowOff>146050</xdr:rowOff>
    </xdr:from>
    <xdr:to>
      <xdr:col>2</xdr:col>
      <xdr:colOff>349250</xdr:colOff>
      <xdr:row>6</xdr:row>
      <xdr:rowOff>171450</xdr:rowOff>
    </xdr:to>
    <xdr:sp macro="" textlink="">
      <xdr:nvSpPr>
        <xdr:cNvPr id="66" name="TextBox 65">
          <a:extLst>
            <a:ext uri="{FF2B5EF4-FFF2-40B4-BE49-F238E27FC236}">
              <a16:creationId xmlns:a16="http://schemas.microsoft.com/office/drawing/2014/main" id="{BBBC06C0-F97D-E9FA-7D98-EF2C376EEF08}"/>
            </a:ext>
          </a:extLst>
        </xdr:cNvPr>
        <xdr:cNvSpPr txBox="1"/>
      </xdr:nvSpPr>
      <xdr:spPr>
        <a:xfrm>
          <a:off x="774700" y="882650"/>
          <a:ext cx="7937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B0F0"/>
              </a:solidFill>
              <a:latin typeface="Times" panose="020B0500000000000000" pitchFamily="34" charset="0"/>
              <a:ea typeface="Times" panose="020B0500000000000000" pitchFamily="34" charset="0"/>
              <a:cs typeface="Times" panose="020B0500000000000000" pitchFamily="34" charset="0"/>
            </a:rPr>
            <a:t>300</a:t>
          </a:r>
        </a:p>
      </xdr:txBody>
    </xdr:sp>
    <xdr:clientData/>
  </xdr:twoCellAnchor>
  <xdr:twoCellAnchor>
    <xdr:from>
      <xdr:col>12</xdr:col>
      <xdr:colOff>444500</xdr:colOff>
      <xdr:row>4</xdr:row>
      <xdr:rowOff>57150</xdr:rowOff>
    </xdr:from>
    <xdr:to>
      <xdr:col>14</xdr:col>
      <xdr:colOff>146050</xdr:colOff>
      <xdr:row>6</xdr:row>
      <xdr:rowOff>139700</xdr:rowOff>
    </xdr:to>
    <xdr:sp macro="" textlink="">
      <xdr:nvSpPr>
        <xdr:cNvPr id="67" name="TextBox 66">
          <a:extLst>
            <a:ext uri="{FF2B5EF4-FFF2-40B4-BE49-F238E27FC236}">
              <a16:creationId xmlns:a16="http://schemas.microsoft.com/office/drawing/2014/main" id="{C50DC385-390F-9FC7-18E8-D585AB00B330}"/>
            </a:ext>
          </a:extLst>
        </xdr:cNvPr>
        <xdr:cNvSpPr txBox="1"/>
      </xdr:nvSpPr>
      <xdr:spPr>
        <a:xfrm>
          <a:off x="7759700" y="793750"/>
          <a:ext cx="92075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6">
                  <a:lumMod val="75000"/>
                </a:schemeClr>
              </a:solidFill>
              <a:latin typeface="Times" panose="020B0500000000000000" pitchFamily="34" charset="0"/>
              <a:ea typeface="Times" panose="020B0500000000000000" pitchFamily="34" charset="0"/>
              <a:cs typeface="Times" panose="020B0500000000000000" pitchFamily="34" charset="0"/>
            </a:rPr>
            <a:t>83%</a:t>
          </a:r>
        </a:p>
      </xdr:txBody>
    </xdr:sp>
    <xdr:clientData/>
  </xdr:twoCellAnchor>
  <xdr:twoCellAnchor>
    <xdr:from>
      <xdr:col>9</xdr:col>
      <xdr:colOff>444500</xdr:colOff>
      <xdr:row>4</xdr:row>
      <xdr:rowOff>57150</xdr:rowOff>
    </xdr:from>
    <xdr:to>
      <xdr:col>11</xdr:col>
      <xdr:colOff>203200</xdr:colOff>
      <xdr:row>6</xdr:row>
      <xdr:rowOff>120650</xdr:rowOff>
    </xdr:to>
    <xdr:sp macro="" textlink="">
      <xdr:nvSpPr>
        <xdr:cNvPr id="70" name="TextBox 69">
          <a:extLst>
            <a:ext uri="{FF2B5EF4-FFF2-40B4-BE49-F238E27FC236}">
              <a16:creationId xmlns:a16="http://schemas.microsoft.com/office/drawing/2014/main" id="{83181389-252C-9D93-6320-2D8149DFCA2D}"/>
            </a:ext>
          </a:extLst>
        </xdr:cNvPr>
        <xdr:cNvSpPr txBox="1"/>
      </xdr:nvSpPr>
      <xdr:spPr>
        <a:xfrm>
          <a:off x="5930900" y="793750"/>
          <a:ext cx="9779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6">
                  <a:lumMod val="75000"/>
                </a:schemeClr>
              </a:solidFill>
            </a:rPr>
            <a:t>32.3%</a:t>
          </a:r>
          <a:endParaRPr lang="en-US" sz="2000" b="1">
            <a:solidFill>
              <a:schemeClr val="accent6">
                <a:lumMod val="75000"/>
              </a:schemeClr>
            </a:solidFill>
            <a:latin typeface="Times" panose="020B0500000000000000" pitchFamily="34" charset="0"/>
            <a:ea typeface="Times" panose="020B0500000000000000" pitchFamily="34" charset="0"/>
            <a:cs typeface="Times" panose="020B0500000000000000" pitchFamily="34" charset="0"/>
          </a:endParaRPr>
        </a:p>
      </xdr:txBody>
    </xdr:sp>
    <xdr:clientData/>
  </xdr:twoCellAnchor>
  <xdr:twoCellAnchor>
    <xdr:from>
      <xdr:col>3</xdr:col>
      <xdr:colOff>571500</xdr:colOff>
      <xdr:row>4</xdr:row>
      <xdr:rowOff>120650</xdr:rowOff>
    </xdr:from>
    <xdr:to>
      <xdr:col>5</xdr:col>
      <xdr:colOff>311150</xdr:colOff>
      <xdr:row>6</xdr:row>
      <xdr:rowOff>139700</xdr:rowOff>
    </xdr:to>
    <xdr:sp macro="" textlink="">
      <xdr:nvSpPr>
        <xdr:cNvPr id="71" name="TextBox 70">
          <a:extLst>
            <a:ext uri="{FF2B5EF4-FFF2-40B4-BE49-F238E27FC236}">
              <a16:creationId xmlns:a16="http://schemas.microsoft.com/office/drawing/2014/main" id="{2E189CD9-F512-CB2A-6D3C-96AC9A92684C}"/>
            </a:ext>
          </a:extLst>
        </xdr:cNvPr>
        <xdr:cNvSpPr txBox="1"/>
      </xdr:nvSpPr>
      <xdr:spPr>
        <a:xfrm>
          <a:off x="2400300" y="857250"/>
          <a:ext cx="9588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B0F0"/>
              </a:solidFill>
              <a:latin typeface="Times" panose="020B0500000000000000" pitchFamily="34" charset="0"/>
              <a:ea typeface="Times" panose="020B0500000000000000" pitchFamily="34" charset="0"/>
              <a:cs typeface="Times" panose="020B0500000000000000" pitchFamily="34" charset="0"/>
            </a:rPr>
            <a:t>38.3%</a:t>
          </a:r>
        </a:p>
      </xdr:txBody>
    </xdr:sp>
    <xdr:clientData/>
  </xdr:twoCellAnchor>
  <xdr:twoCellAnchor>
    <xdr:from>
      <xdr:col>6</xdr:col>
      <xdr:colOff>488950</xdr:colOff>
      <xdr:row>4</xdr:row>
      <xdr:rowOff>63500</xdr:rowOff>
    </xdr:from>
    <xdr:to>
      <xdr:col>7</xdr:col>
      <xdr:colOff>596900</xdr:colOff>
      <xdr:row>6</xdr:row>
      <xdr:rowOff>171450</xdr:rowOff>
    </xdr:to>
    <xdr:sp macro="" textlink="">
      <xdr:nvSpPr>
        <xdr:cNvPr id="72" name="TextBox 71">
          <a:extLst>
            <a:ext uri="{FF2B5EF4-FFF2-40B4-BE49-F238E27FC236}">
              <a16:creationId xmlns:a16="http://schemas.microsoft.com/office/drawing/2014/main" id="{D95298CD-FCE3-8C64-92EC-E6DF42812A6C}"/>
            </a:ext>
          </a:extLst>
        </xdr:cNvPr>
        <xdr:cNvSpPr txBox="1"/>
      </xdr:nvSpPr>
      <xdr:spPr>
        <a:xfrm>
          <a:off x="4146550" y="800100"/>
          <a:ext cx="7175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B0F0"/>
              </a:solidFill>
              <a:latin typeface="Times" panose="020B0500000000000000" pitchFamily="34" charset="0"/>
              <a:ea typeface="Times" panose="020B0500000000000000" pitchFamily="34" charset="0"/>
              <a:cs typeface="Times" panose="020B0500000000000000" pitchFamily="34" charset="0"/>
            </a:rPr>
            <a:t>2%</a:t>
          </a:r>
        </a:p>
      </xdr:txBody>
    </xdr:sp>
    <xdr:clientData/>
  </xdr:twoCellAnchor>
  <xdr:twoCellAnchor editAs="oneCell">
    <xdr:from>
      <xdr:col>16</xdr:col>
      <xdr:colOff>0</xdr:colOff>
      <xdr:row>0</xdr:row>
      <xdr:rowOff>31751</xdr:rowOff>
    </xdr:from>
    <xdr:to>
      <xdr:col>19</xdr:col>
      <xdr:colOff>0</xdr:colOff>
      <xdr:row>6</xdr:row>
      <xdr:rowOff>76201</xdr:rowOff>
    </xdr:to>
    <mc:AlternateContent xmlns:mc="http://schemas.openxmlformats.org/markup-compatibility/2006">
      <mc:Choice xmlns:a14="http://schemas.microsoft.com/office/drawing/2010/main" Requires="a14">
        <xdr:graphicFrame macro="">
          <xdr:nvGraphicFramePr>
            <xdr:cNvPr id="74" name="Marital Status">
              <a:extLst>
                <a:ext uri="{FF2B5EF4-FFF2-40B4-BE49-F238E27FC236}">
                  <a16:creationId xmlns:a16="http://schemas.microsoft.com/office/drawing/2014/main" id="{47AAE8FB-81F5-57A0-6A60-3AA10850AC5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745306" y="31751"/>
              <a:ext cx="1827245" cy="1133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577850</xdr:colOff>
      <xdr:row>7</xdr:row>
      <xdr:rowOff>19051</xdr:rowOff>
    </xdr:from>
    <xdr:to>
      <xdr:col>18</xdr:col>
      <xdr:colOff>577850</xdr:colOff>
      <xdr:row>14</xdr:row>
      <xdr:rowOff>133351</xdr:rowOff>
    </xdr:to>
    <mc:AlternateContent xmlns:mc="http://schemas.openxmlformats.org/markup-compatibility/2006">
      <mc:Choice xmlns:a14="http://schemas.microsoft.com/office/drawing/2010/main" Requires="a14">
        <xdr:graphicFrame macro="">
          <xdr:nvGraphicFramePr>
            <xdr:cNvPr id="75" name="Education Level">
              <a:extLst>
                <a:ext uri="{FF2B5EF4-FFF2-40B4-BE49-F238E27FC236}">
                  <a16:creationId xmlns:a16="http://schemas.microsoft.com/office/drawing/2014/main" id="{97105C2D-F080-B898-0265-7B47F776D066}"/>
                </a:ext>
              </a:extLst>
            </xdr:cNvPr>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dr:sp macro="" textlink="">
          <xdr:nvSpPr>
            <xdr:cNvPr id="0" name=""/>
            <xdr:cNvSpPr>
              <a:spLocks noTextEdit="1"/>
            </xdr:cNvSpPr>
          </xdr:nvSpPr>
          <xdr:spPr>
            <a:xfrm>
              <a:off x="9714074" y="1289051"/>
              <a:ext cx="1827245" cy="1384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543983</xdr:colOff>
      <xdr:row>15</xdr:row>
      <xdr:rowOff>61384</xdr:rowOff>
    </xdr:from>
    <xdr:to>
      <xdr:col>18</xdr:col>
      <xdr:colOff>543983</xdr:colOff>
      <xdr:row>21</xdr:row>
      <xdr:rowOff>0</xdr:rowOff>
    </xdr:to>
    <mc:AlternateContent xmlns:mc="http://schemas.openxmlformats.org/markup-compatibility/2006">
      <mc:Choice xmlns:a14="http://schemas.microsoft.com/office/drawing/2010/main" Requires="a14">
        <xdr:graphicFrame macro="">
          <xdr:nvGraphicFramePr>
            <xdr:cNvPr id="77" name="Ever Attended ANC">
              <a:extLst>
                <a:ext uri="{FF2B5EF4-FFF2-40B4-BE49-F238E27FC236}">
                  <a16:creationId xmlns:a16="http://schemas.microsoft.com/office/drawing/2014/main" id="{B9579529-91BC-F89B-DB21-108F6501D70C}"/>
                </a:ext>
              </a:extLst>
            </xdr:cNvPr>
            <xdr:cNvGraphicFramePr/>
          </xdr:nvGraphicFramePr>
          <xdr:xfrm>
            <a:off x="0" y="0"/>
            <a:ext cx="0" cy="0"/>
          </xdr:xfrm>
          <a:graphic>
            <a:graphicData uri="http://schemas.microsoft.com/office/drawing/2010/slicer">
              <sle:slicer xmlns:sle="http://schemas.microsoft.com/office/drawing/2010/slicer" name="Ever Attended ANC"/>
            </a:graphicData>
          </a:graphic>
        </xdr:graphicFrame>
      </mc:Choice>
      <mc:Fallback>
        <xdr:sp macro="" textlink="">
          <xdr:nvSpPr>
            <xdr:cNvPr id="0" name=""/>
            <xdr:cNvSpPr>
              <a:spLocks noTextEdit="1"/>
            </xdr:cNvSpPr>
          </xdr:nvSpPr>
          <xdr:spPr>
            <a:xfrm>
              <a:off x="9680207" y="2782813"/>
              <a:ext cx="1827245" cy="1027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541866</xdr:colOff>
      <xdr:row>20</xdr:row>
      <xdr:rowOff>44452</xdr:rowOff>
    </xdr:from>
    <xdr:to>
      <xdr:col>18</xdr:col>
      <xdr:colOff>541866</xdr:colOff>
      <xdr:row>25</xdr:row>
      <xdr:rowOff>10584</xdr:rowOff>
    </xdr:to>
    <mc:AlternateContent xmlns:mc="http://schemas.openxmlformats.org/markup-compatibility/2006">
      <mc:Choice xmlns:a14="http://schemas.microsoft.com/office/drawing/2010/main" Requires="a14">
        <xdr:graphicFrame macro="">
          <xdr:nvGraphicFramePr>
            <xdr:cNvPr id="79" name="Planned Place of Birth">
              <a:extLst>
                <a:ext uri="{FF2B5EF4-FFF2-40B4-BE49-F238E27FC236}">
                  <a16:creationId xmlns:a16="http://schemas.microsoft.com/office/drawing/2014/main" id="{6D8382E1-3A41-4EE2-5AA0-FFD664EDD0A6}"/>
                </a:ext>
              </a:extLst>
            </xdr:cNvPr>
            <xdr:cNvGraphicFramePr/>
          </xdr:nvGraphicFramePr>
          <xdr:xfrm>
            <a:off x="0" y="0"/>
            <a:ext cx="0" cy="0"/>
          </xdr:xfrm>
          <a:graphic>
            <a:graphicData uri="http://schemas.microsoft.com/office/drawing/2010/slicer">
              <sle:slicer xmlns:sle="http://schemas.microsoft.com/office/drawing/2010/slicer" name="Planned Place of Birth"/>
            </a:graphicData>
          </a:graphic>
        </xdr:graphicFrame>
      </mc:Choice>
      <mc:Fallback>
        <xdr:sp macro="" textlink="">
          <xdr:nvSpPr>
            <xdr:cNvPr id="0" name=""/>
            <xdr:cNvSpPr>
              <a:spLocks noTextEdit="1"/>
            </xdr:cNvSpPr>
          </xdr:nvSpPr>
          <xdr:spPr>
            <a:xfrm>
              <a:off x="9678090" y="3673023"/>
              <a:ext cx="1827245" cy="873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145143</xdr:colOff>
      <xdr:row>8</xdr:row>
      <xdr:rowOff>27215</xdr:rowOff>
    </xdr:from>
    <xdr:to>
      <xdr:col>6</xdr:col>
      <xdr:colOff>172357</xdr:colOff>
      <xdr:row>15</xdr:row>
      <xdr:rowOff>99785</xdr:rowOff>
    </xdr:to>
    <xdr:graphicFrame macro="">
      <xdr:nvGraphicFramePr>
        <xdr:cNvPr id="80" name="Chart 79">
          <a:extLst>
            <a:ext uri="{FF2B5EF4-FFF2-40B4-BE49-F238E27FC236}">
              <a16:creationId xmlns:a16="http://schemas.microsoft.com/office/drawing/2014/main" id="{90AE44DF-C529-4BA4-9631-A513E144E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197304</xdr:colOff>
      <xdr:row>17</xdr:row>
      <xdr:rowOff>90714</xdr:rowOff>
    </xdr:from>
    <xdr:to>
      <xdr:col>16</xdr:col>
      <xdr:colOff>43090</xdr:colOff>
      <xdr:row>24</xdr:row>
      <xdr:rowOff>113393</xdr:rowOff>
    </xdr:to>
    <xdr:graphicFrame macro="">
      <xdr:nvGraphicFramePr>
        <xdr:cNvPr id="83" name="Chart 82">
          <a:extLst>
            <a:ext uri="{FF2B5EF4-FFF2-40B4-BE49-F238E27FC236}">
              <a16:creationId xmlns:a16="http://schemas.microsoft.com/office/drawing/2014/main" id="{6F4DB1BE-0454-4467-A1E7-CC691F26C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602712</xdr:colOff>
      <xdr:row>17</xdr:row>
      <xdr:rowOff>43051</xdr:rowOff>
    </xdr:from>
    <xdr:to>
      <xdr:col>11</xdr:col>
      <xdr:colOff>236780</xdr:colOff>
      <xdr:row>24</xdr:row>
      <xdr:rowOff>129153</xdr:rowOff>
    </xdr:to>
    <xdr:graphicFrame macro="">
      <xdr:nvGraphicFramePr>
        <xdr:cNvPr id="84" name="Chart 83">
          <a:extLst>
            <a:ext uri="{FF2B5EF4-FFF2-40B4-BE49-F238E27FC236}">
              <a16:creationId xmlns:a16="http://schemas.microsoft.com/office/drawing/2014/main" id="{D24EC342-25CB-4EEA-A37C-3100C37A5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0.00405</cdr:x>
      <cdr:y>0.01539</cdr:y>
    </cdr:from>
    <cdr:to>
      <cdr:x>1</cdr:x>
      <cdr:y>0.39831</cdr:y>
    </cdr:to>
    <cdr:sp macro="" textlink="">
      <cdr:nvSpPr>
        <cdr:cNvPr id="2" name="TextBox 1">
          <a:extLst xmlns:a="http://schemas.openxmlformats.org/drawingml/2006/main">
            <a:ext uri="{FF2B5EF4-FFF2-40B4-BE49-F238E27FC236}">
              <a16:creationId xmlns:a16="http://schemas.microsoft.com/office/drawing/2014/main" id="{E7C94779-5C89-06CB-039B-A25C9F8158F8}"/>
            </a:ext>
          </a:extLst>
        </cdr:cNvPr>
        <cdr:cNvSpPr txBox="1"/>
      </cdr:nvSpPr>
      <cdr:spPr>
        <a:xfrm xmlns:a="http://schemas.openxmlformats.org/drawingml/2006/main">
          <a:off x="10762" y="21526"/>
          <a:ext cx="2647627" cy="5357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kern="1200">
              <a:solidFill>
                <a:schemeClr val="tx2"/>
              </a:solidFill>
              <a:latin typeface="Times" panose="020B0500000000000000" pitchFamily="34" charset="0"/>
              <a:ea typeface="Times" panose="020B0500000000000000" pitchFamily="34" charset="0"/>
              <a:cs typeface="Times" panose="020B0500000000000000" pitchFamily="34" charset="0"/>
            </a:rPr>
            <a:t>Health Education</a:t>
          </a:r>
          <a:r>
            <a:rPr lang="en-US" sz="1100" b="1" kern="1200" baseline="0">
              <a:solidFill>
                <a:schemeClr val="tx2"/>
              </a:solidFill>
              <a:latin typeface="Times" panose="020B0500000000000000" pitchFamily="34" charset="0"/>
              <a:ea typeface="Times" panose="020B0500000000000000" pitchFamily="34" charset="0"/>
              <a:cs typeface="Times" panose="020B0500000000000000" pitchFamily="34" charset="0"/>
            </a:rPr>
            <a:t> by  BPCR Knowledge</a:t>
          </a:r>
          <a:endParaRPr lang="en-US" sz="1100" b="1" kern="1200">
            <a:solidFill>
              <a:schemeClr val="tx2"/>
            </a:solidFill>
            <a:latin typeface="Times" panose="020B0500000000000000" pitchFamily="34" charset="0"/>
            <a:ea typeface="Times" panose="020B0500000000000000" pitchFamily="34" charset="0"/>
            <a:cs typeface="Times" panose="020B0500000000000000"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se Essa" refreshedDate="46245.851133101853" createdVersion="8" refreshedVersion="8" minRefreshableVersion="3" recordCount="300" xr:uid="{11B69D29-EDE9-482E-BB9A-16819DBC2B5A}">
  <cacheSource type="worksheet">
    <worksheetSource name="tbl_BPCR"/>
  </cacheSource>
  <cacheFields count="14">
    <cacheField name="Respondent ID" numFmtId="0">
      <sharedItems containsSemiMixedTypes="0" containsString="0" containsNumber="1" containsInteger="1" minValue="1" maxValue="300"/>
    </cacheField>
    <cacheField name="Age" numFmtId="0">
      <sharedItems containsSemiMixedTypes="0" containsString="0" containsNumber="1" containsInteger="1" minValue="18" maxValue="43"/>
    </cacheField>
    <cacheField name="Marital Status" numFmtId="0">
      <sharedItems count="3">
        <s v="Married"/>
        <s v="Divorced"/>
        <s v="Widowed"/>
      </sharedItems>
    </cacheField>
    <cacheField name="Education Level" numFmtId="0">
      <sharedItems count="4">
        <s v="No Formal Education"/>
        <s v="Tertiary Education"/>
        <s v="Primary Education"/>
        <s v="Secondary Education"/>
      </sharedItems>
    </cacheField>
    <cacheField name="Income" numFmtId="164">
      <sharedItems containsSemiMixedTypes="0" containsString="0" containsNumber="1" containsInteger="1" minValue="150" maxValue="3000" count="23">
        <n v="250"/>
        <n v="350"/>
        <n v="500"/>
        <n v="300"/>
        <n v="400"/>
        <n v="1000"/>
        <n v="200"/>
        <n v="700"/>
        <n v="800"/>
        <n v="450"/>
        <n v="2000"/>
        <n v="850"/>
        <n v="550"/>
        <n v="600"/>
        <n v="1300"/>
        <n v="1800"/>
        <n v="3000"/>
        <n v="1500"/>
        <n v="150"/>
        <n v="180"/>
        <n v="1200"/>
        <n v="1600"/>
        <n v="310"/>
      </sharedItems>
    </cacheField>
    <cacheField name="Ever Attended ANC" numFmtId="0">
      <sharedItems count="2">
        <s v="Not at all"/>
        <s v="Yes"/>
      </sharedItems>
    </cacheField>
    <cacheField name="ANC During Last Pregnancy" numFmtId="0">
      <sharedItems count="3">
        <s v="Missing"/>
        <s v="Yes"/>
        <s v="No"/>
      </sharedItems>
    </cacheField>
    <cacheField name="BPCR Health Education" numFmtId="0">
      <sharedItems count="3">
        <s v="Missing"/>
        <s v="Yes"/>
        <s v="Not at all"/>
      </sharedItems>
    </cacheField>
    <cacheField name="Planned Place of Birth" numFmtId="0">
      <sharedItems count="2">
        <s v="Health Institutions"/>
        <s v="Home"/>
      </sharedItems>
    </cacheField>
    <cacheField name="Knowledge of Pregnancy Danger Signs" numFmtId="0">
      <sharedItems count="2">
        <s v="Knowledgeable"/>
        <s v="Not knowledgeable"/>
      </sharedItems>
    </cacheField>
    <cacheField name="Knowledge of Labor Danger Signs" numFmtId="0">
      <sharedItems count="2">
        <s v="Not knowledgeable"/>
        <s v="Knowledgeable"/>
      </sharedItems>
    </cacheField>
    <cacheField name="Knowledge of Postpartum Danger Signs" numFmtId="0">
      <sharedItems count="2">
        <s v="Knowledgeable"/>
        <s v="Not knowledgeable"/>
      </sharedItems>
    </cacheField>
    <cacheField name="Overall BPCR Knowledge" numFmtId="0">
      <sharedItems count="2">
        <s v="Not knowledgeable"/>
        <s v="Knowledgeable"/>
      </sharedItems>
    </cacheField>
    <cacheField name="Overall BPCR Practice" numFmtId="0">
      <sharedItems count="2">
        <s v="Not Prepared"/>
        <s v="Prepared"/>
      </sharedItems>
    </cacheField>
  </cacheFields>
  <extLst>
    <ext xmlns:x14="http://schemas.microsoft.com/office/spreadsheetml/2009/9/main" uri="{725AE2AE-9491-48be-B2B4-4EB974FC3084}">
      <x14:pivotCacheDefinition pivotCacheId="1804205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n v="33"/>
    <x v="0"/>
    <x v="0"/>
    <x v="0"/>
    <x v="0"/>
    <x v="0"/>
    <x v="0"/>
    <x v="0"/>
    <x v="0"/>
    <x v="0"/>
    <x v="0"/>
    <x v="0"/>
    <x v="0"/>
  </r>
  <r>
    <n v="2"/>
    <n v="37"/>
    <x v="0"/>
    <x v="0"/>
    <x v="1"/>
    <x v="0"/>
    <x v="0"/>
    <x v="0"/>
    <x v="0"/>
    <x v="1"/>
    <x v="1"/>
    <x v="0"/>
    <x v="0"/>
    <x v="0"/>
  </r>
  <r>
    <n v="3"/>
    <n v="33"/>
    <x v="0"/>
    <x v="1"/>
    <x v="1"/>
    <x v="0"/>
    <x v="0"/>
    <x v="0"/>
    <x v="0"/>
    <x v="0"/>
    <x v="0"/>
    <x v="0"/>
    <x v="0"/>
    <x v="0"/>
  </r>
  <r>
    <n v="4"/>
    <n v="24"/>
    <x v="0"/>
    <x v="2"/>
    <x v="1"/>
    <x v="1"/>
    <x v="1"/>
    <x v="1"/>
    <x v="0"/>
    <x v="0"/>
    <x v="0"/>
    <x v="0"/>
    <x v="1"/>
    <x v="1"/>
  </r>
  <r>
    <n v="5"/>
    <n v="24"/>
    <x v="0"/>
    <x v="1"/>
    <x v="2"/>
    <x v="1"/>
    <x v="1"/>
    <x v="1"/>
    <x v="0"/>
    <x v="0"/>
    <x v="1"/>
    <x v="0"/>
    <x v="1"/>
    <x v="1"/>
  </r>
  <r>
    <n v="6"/>
    <n v="30"/>
    <x v="0"/>
    <x v="1"/>
    <x v="3"/>
    <x v="0"/>
    <x v="0"/>
    <x v="0"/>
    <x v="1"/>
    <x v="1"/>
    <x v="0"/>
    <x v="1"/>
    <x v="0"/>
    <x v="0"/>
  </r>
  <r>
    <n v="7"/>
    <n v="43"/>
    <x v="0"/>
    <x v="2"/>
    <x v="4"/>
    <x v="0"/>
    <x v="0"/>
    <x v="0"/>
    <x v="1"/>
    <x v="1"/>
    <x v="0"/>
    <x v="0"/>
    <x v="0"/>
    <x v="0"/>
  </r>
  <r>
    <n v="8"/>
    <n v="34"/>
    <x v="0"/>
    <x v="0"/>
    <x v="3"/>
    <x v="1"/>
    <x v="1"/>
    <x v="2"/>
    <x v="0"/>
    <x v="1"/>
    <x v="0"/>
    <x v="0"/>
    <x v="1"/>
    <x v="0"/>
  </r>
  <r>
    <n v="9"/>
    <n v="35"/>
    <x v="0"/>
    <x v="3"/>
    <x v="5"/>
    <x v="1"/>
    <x v="1"/>
    <x v="1"/>
    <x v="0"/>
    <x v="0"/>
    <x v="1"/>
    <x v="0"/>
    <x v="1"/>
    <x v="0"/>
  </r>
  <r>
    <n v="10"/>
    <n v="30"/>
    <x v="0"/>
    <x v="3"/>
    <x v="3"/>
    <x v="1"/>
    <x v="2"/>
    <x v="2"/>
    <x v="0"/>
    <x v="1"/>
    <x v="0"/>
    <x v="0"/>
    <x v="0"/>
    <x v="0"/>
  </r>
  <r>
    <n v="11"/>
    <n v="23"/>
    <x v="0"/>
    <x v="2"/>
    <x v="3"/>
    <x v="0"/>
    <x v="0"/>
    <x v="0"/>
    <x v="1"/>
    <x v="1"/>
    <x v="0"/>
    <x v="0"/>
    <x v="0"/>
    <x v="0"/>
  </r>
  <r>
    <n v="12"/>
    <n v="27"/>
    <x v="0"/>
    <x v="3"/>
    <x v="6"/>
    <x v="1"/>
    <x v="1"/>
    <x v="2"/>
    <x v="0"/>
    <x v="0"/>
    <x v="1"/>
    <x v="0"/>
    <x v="1"/>
    <x v="0"/>
  </r>
  <r>
    <n v="13"/>
    <n v="35"/>
    <x v="0"/>
    <x v="1"/>
    <x v="7"/>
    <x v="1"/>
    <x v="1"/>
    <x v="1"/>
    <x v="0"/>
    <x v="0"/>
    <x v="0"/>
    <x v="0"/>
    <x v="1"/>
    <x v="0"/>
  </r>
  <r>
    <n v="14"/>
    <n v="32"/>
    <x v="0"/>
    <x v="0"/>
    <x v="2"/>
    <x v="1"/>
    <x v="1"/>
    <x v="1"/>
    <x v="0"/>
    <x v="0"/>
    <x v="0"/>
    <x v="0"/>
    <x v="1"/>
    <x v="0"/>
  </r>
  <r>
    <n v="15"/>
    <n v="36"/>
    <x v="0"/>
    <x v="1"/>
    <x v="2"/>
    <x v="0"/>
    <x v="0"/>
    <x v="0"/>
    <x v="0"/>
    <x v="0"/>
    <x v="1"/>
    <x v="0"/>
    <x v="1"/>
    <x v="0"/>
  </r>
  <r>
    <n v="16"/>
    <n v="24"/>
    <x v="0"/>
    <x v="3"/>
    <x v="4"/>
    <x v="1"/>
    <x v="1"/>
    <x v="1"/>
    <x v="0"/>
    <x v="0"/>
    <x v="0"/>
    <x v="0"/>
    <x v="1"/>
    <x v="0"/>
  </r>
  <r>
    <n v="17"/>
    <n v="19"/>
    <x v="0"/>
    <x v="3"/>
    <x v="5"/>
    <x v="1"/>
    <x v="1"/>
    <x v="1"/>
    <x v="0"/>
    <x v="0"/>
    <x v="1"/>
    <x v="0"/>
    <x v="1"/>
    <x v="0"/>
  </r>
  <r>
    <n v="18"/>
    <n v="32"/>
    <x v="0"/>
    <x v="1"/>
    <x v="8"/>
    <x v="1"/>
    <x v="1"/>
    <x v="1"/>
    <x v="0"/>
    <x v="1"/>
    <x v="1"/>
    <x v="0"/>
    <x v="0"/>
    <x v="0"/>
  </r>
  <r>
    <n v="19"/>
    <n v="25"/>
    <x v="0"/>
    <x v="2"/>
    <x v="0"/>
    <x v="1"/>
    <x v="1"/>
    <x v="2"/>
    <x v="0"/>
    <x v="1"/>
    <x v="0"/>
    <x v="0"/>
    <x v="0"/>
    <x v="0"/>
  </r>
  <r>
    <n v="20"/>
    <n v="28"/>
    <x v="0"/>
    <x v="3"/>
    <x v="3"/>
    <x v="0"/>
    <x v="0"/>
    <x v="0"/>
    <x v="0"/>
    <x v="1"/>
    <x v="1"/>
    <x v="0"/>
    <x v="1"/>
    <x v="0"/>
  </r>
  <r>
    <n v="21"/>
    <n v="28"/>
    <x v="0"/>
    <x v="2"/>
    <x v="4"/>
    <x v="1"/>
    <x v="1"/>
    <x v="2"/>
    <x v="1"/>
    <x v="1"/>
    <x v="0"/>
    <x v="0"/>
    <x v="0"/>
    <x v="0"/>
  </r>
  <r>
    <n v="22"/>
    <n v="25"/>
    <x v="0"/>
    <x v="0"/>
    <x v="3"/>
    <x v="1"/>
    <x v="2"/>
    <x v="1"/>
    <x v="0"/>
    <x v="1"/>
    <x v="0"/>
    <x v="1"/>
    <x v="0"/>
    <x v="0"/>
  </r>
  <r>
    <n v="23"/>
    <n v="25"/>
    <x v="0"/>
    <x v="1"/>
    <x v="3"/>
    <x v="1"/>
    <x v="1"/>
    <x v="1"/>
    <x v="0"/>
    <x v="1"/>
    <x v="0"/>
    <x v="0"/>
    <x v="0"/>
    <x v="0"/>
  </r>
  <r>
    <n v="24"/>
    <n v="30"/>
    <x v="0"/>
    <x v="2"/>
    <x v="9"/>
    <x v="1"/>
    <x v="2"/>
    <x v="2"/>
    <x v="0"/>
    <x v="1"/>
    <x v="0"/>
    <x v="1"/>
    <x v="0"/>
    <x v="0"/>
  </r>
  <r>
    <n v="25"/>
    <n v="28"/>
    <x v="0"/>
    <x v="0"/>
    <x v="0"/>
    <x v="0"/>
    <x v="0"/>
    <x v="0"/>
    <x v="0"/>
    <x v="1"/>
    <x v="0"/>
    <x v="1"/>
    <x v="0"/>
    <x v="0"/>
  </r>
  <r>
    <n v="26"/>
    <n v="29"/>
    <x v="0"/>
    <x v="0"/>
    <x v="4"/>
    <x v="0"/>
    <x v="0"/>
    <x v="0"/>
    <x v="0"/>
    <x v="1"/>
    <x v="0"/>
    <x v="1"/>
    <x v="0"/>
    <x v="0"/>
  </r>
  <r>
    <n v="27"/>
    <n v="35"/>
    <x v="0"/>
    <x v="3"/>
    <x v="8"/>
    <x v="1"/>
    <x v="1"/>
    <x v="1"/>
    <x v="0"/>
    <x v="0"/>
    <x v="1"/>
    <x v="0"/>
    <x v="1"/>
    <x v="0"/>
  </r>
  <r>
    <n v="28"/>
    <n v="35"/>
    <x v="0"/>
    <x v="1"/>
    <x v="10"/>
    <x v="1"/>
    <x v="1"/>
    <x v="1"/>
    <x v="0"/>
    <x v="0"/>
    <x v="1"/>
    <x v="0"/>
    <x v="1"/>
    <x v="0"/>
  </r>
  <r>
    <n v="29"/>
    <n v="28"/>
    <x v="0"/>
    <x v="2"/>
    <x v="3"/>
    <x v="1"/>
    <x v="1"/>
    <x v="1"/>
    <x v="0"/>
    <x v="1"/>
    <x v="0"/>
    <x v="0"/>
    <x v="0"/>
    <x v="0"/>
  </r>
  <r>
    <n v="30"/>
    <n v="30"/>
    <x v="0"/>
    <x v="0"/>
    <x v="2"/>
    <x v="0"/>
    <x v="0"/>
    <x v="0"/>
    <x v="1"/>
    <x v="1"/>
    <x v="0"/>
    <x v="1"/>
    <x v="0"/>
    <x v="0"/>
  </r>
  <r>
    <n v="31"/>
    <n v="19"/>
    <x v="0"/>
    <x v="2"/>
    <x v="9"/>
    <x v="0"/>
    <x v="0"/>
    <x v="0"/>
    <x v="0"/>
    <x v="1"/>
    <x v="1"/>
    <x v="0"/>
    <x v="0"/>
    <x v="0"/>
  </r>
  <r>
    <n v="32"/>
    <n v="37"/>
    <x v="0"/>
    <x v="0"/>
    <x v="3"/>
    <x v="0"/>
    <x v="0"/>
    <x v="0"/>
    <x v="1"/>
    <x v="1"/>
    <x v="0"/>
    <x v="1"/>
    <x v="1"/>
    <x v="0"/>
  </r>
  <r>
    <n v="33"/>
    <n v="33"/>
    <x v="0"/>
    <x v="3"/>
    <x v="3"/>
    <x v="1"/>
    <x v="1"/>
    <x v="1"/>
    <x v="0"/>
    <x v="1"/>
    <x v="1"/>
    <x v="0"/>
    <x v="0"/>
    <x v="0"/>
  </r>
  <r>
    <n v="34"/>
    <n v="29"/>
    <x v="0"/>
    <x v="1"/>
    <x v="4"/>
    <x v="1"/>
    <x v="1"/>
    <x v="1"/>
    <x v="0"/>
    <x v="0"/>
    <x v="1"/>
    <x v="0"/>
    <x v="1"/>
    <x v="0"/>
  </r>
  <r>
    <n v="35"/>
    <n v="27"/>
    <x v="0"/>
    <x v="0"/>
    <x v="3"/>
    <x v="0"/>
    <x v="0"/>
    <x v="0"/>
    <x v="1"/>
    <x v="1"/>
    <x v="0"/>
    <x v="1"/>
    <x v="0"/>
    <x v="0"/>
  </r>
  <r>
    <n v="36"/>
    <n v="36"/>
    <x v="0"/>
    <x v="3"/>
    <x v="3"/>
    <x v="1"/>
    <x v="2"/>
    <x v="2"/>
    <x v="1"/>
    <x v="1"/>
    <x v="0"/>
    <x v="0"/>
    <x v="0"/>
    <x v="0"/>
  </r>
  <r>
    <n v="37"/>
    <n v="35"/>
    <x v="0"/>
    <x v="1"/>
    <x v="11"/>
    <x v="1"/>
    <x v="2"/>
    <x v="2"/>
    <x v="0"/>
    <x v="1"/>
    <x v="1"/>
    <x v="0"/>
    <x v="0"/>
    <x v="0"/>
  </r>
  <r>
    <n v="38"/>
    <n v="35"/>
    <x v="0"/>
    <x v="2"/>
    <x v="2"/>
    <x v="1"/>
    <x v="1"/>
    <x v="1"/>
    <x v="0"/>
    <x v="0"/>
    <x v="1"/>
    <x v="0"/>
    <x v="1"/>
    <x v="0"/>
  </r>
  <r>
    <n v="39"/>
    <n v="28"/>
    <x v="0"/>
    <x v="1"/>
    <x v="8"/>
    <x v="1"/>
    <x v="2"/>
    <x v="2"/>
    <x v="0"/>
    <x v="1"/>
    <x v="0"/>
    <x v="1"/>
    <x v="0"/>
    <x v="0"/>
  </r>
  <r>
    <n v="40"/>
    <n v="38"/>
    <x v="0"/>
    <x v="2"/>
    <x v="1"/>
    <x v="1"/>
    <x v="2"/>
    <x v="2"/>
    <x v="0"/>
    <x v="0"/>
    <x v="0"/>
    <x v="1"/>
    <x v="0"/>
    <x v="0"/>
  </r>
  <r>
    <n v="41"/>
    <n v="28"/>
    <x v="0"/>
    <x v="3"/>
    <x v="0"/>
    <x v="1"/>
    <x v="2"/>
    <x v="2"/>
    <x v="1"/>
    <x v="1"/>
    <x v="0"/>
    <x v="0"/>
    <x v="1"/>
    <x v="0"/>
  </r>
  <r>
    <n v="42"/>
    <n v="42"/>
    <x v="0"/>
    <x v="3"/>
    <x v="3"/>
    <x v="0"/>
    <x v="0"/>
    <x v="0"/>
    <x v="0"/>
    <x v="1"/>
    <x v="1"/>
    <x v="0"/>
    <x v="0"/>
    <x v="0"/>
  </r>
  <r>
    <n v="43"/>
    <n v="30"/>
    <x v="0"/>
    <x v="0"/>
    <x v="0"/>
    <x v="1"/>
    <x v="2"/>
    <x v="2"/>
    <x v="1"/>
    <x v="1"/>
    <x v="0"/>
    <x v="1"/>
    <x v="0"/>
    <x v="0"/>
  </r>
  <r>
    <n v="44"/>
    <n v="20"/>
    <x v="0"/>
    <x v="2"/>
    <x v="6"/>
    <x v="1"/>
    <x v="1"/>
    <x v="2"/>
    <x v="1"/>
    <x v="1"/>
    <x v="0"/>
    <x v="1"/>
    <x v="0"/>
    <x v="0"/>
  </r>
  <r>
    <n v="45"/>
    <n v="34"/>
    <x v="0"/>
    <x v="1"/>
    <x v="3"/>
    <x v="1"/>
    <x v="2"/>
    <x v="2"/>
    <x v="0"/>
    <x v="1"/>
    <x v="1"/>
    <x v="0"/>
    <x v="1"/>
    <x v="0"/>
  </r>
  <r>
    <n v="46"/>
    <n v="28"/>
    <x v="0"/>
    <x v="2"/>
    <x v="0"/>
    <x v="0"/>
    <x v="0"/>
    <x v="0"/>
    <x v="1"/>
    <x v="1"/>
    <x v="1"/>
    <x v="0"/>
    <x v="0"/>
    <x v="0"/>
  </r>
  <r>
    <n v="47"/>
    <n v="32"/>
    <x v="0"/>
    <x v="1"/>
    <x v="3"/>
    <x v="1"/>
    <x v="1"/>
    <x v="1"/>
    <x v="0"/>
    <x v="1"/>
    <x v="0"/>
    <x v="1"/>
    <x v="0"/>
    <x v="0"/>
  </r>
  <r>
    <n v="48"/>
    <n v="36"/>
    <x v="0"/>
    <x v="2"/>
    <x v="3"/>
    <x v="1"/>
    <x v="1"/>
    <x v="2"/>
    <x v="1"/>
    <x v="1"/>
    <x v="0"/>
    <x v="1"/>
    <x v="0"/>
    <x v="0"/>
  </r>
  <r>
    <n v="49"/>
    <n v="22"/>
    <x v="0"/>
    <x v="2"/>
    <x v="3"/>
    <x v="1"/>
    <x v="2"/>
    <x v="1"/>
    <x v="1"/>
    <x v="1"/>
    <x v="0"/>
    <x v="0"/>
    <x v="0"/>
    <x v="0"/>
  </r>
  <r>
    <n v="50"/>
    <n v="34"/>
    <x v="0"/>
    <x v="2"/>
    <x v="1"/>
    <x v="1"/>
    <x v="1"/>
    <x v="1"/>
    <x v="0"/>
    <x v="0"/>
    <x v="1"/>
    <x v="0"/>
    <x v="1"/>
    <x v="0"/>
  </r>
  <r>
    <n v="51"/>
    <n v="32"/>
    <x v="0"/>
    <x v="0"/>
    <x v="3"/>
    <x v="1"/>
    <x v="1"/>
    <x v="2"/>
    <x v="1"/>
    <x v="1"/>
    <x v="0"/>
    <x v="0"/>
    <x v="0"/>
    <x v="0"/>
  </r>
  <r>
    <n v="52"/>
    <n v="29"/>
    <x v="0"/>
    <x v="0"/>
    <x v="9"/>
    <x v="1"/>
    <x v="1"/>
    <x v="1"/>
    <x v="0"/>
    <x v="0"/>
    <x v="0"/>
    <x v="0"/>
    <x v="1"/>
    <x v="0"/>
  </r>
  <r>
    <n v="53"/>
    <n v="35"/>
    <x v="0"/>
    <x v="3"/>
    <x v="2"/>
    <x v="1"/>
    <x v="1"/>
    <x v="1"/>
    <x v="0"/>
    <x v="0"/>
    <x v="0"/>
    <x v="1"/>
    <x v="0"/>
    <x v="0"/>
  </r>
  <r>
    <n v="54"/>
    <n v="37"/>
    <x v="1"/>
    <x v="0"/>
    <x v="3"/>
    <x v="1"/>
    <x v="1"/>
    <x v="2"/>
    <x v="0"/>
    <x v="1"/>
    <x v="0"/>
    <x v="1"/>
    <x v="1"/>
    <x v="0"/>
  </r>
  <r>
    <n v="55"/>
    <n v="38"/>
    <x v="0"/>
    <x v="2"/>
    <x v="1"/>
    <x v="1"/>
    <x v="2"/>
    <x v="1"/>
    <x v="0"/>
    <x v="0"/>
    <x v="0"/>
    <x v="1"/>
    <x v="0"/>
    <x v="0"/>
  </r>
  <r>
    <n v="56"/>
    <n v="38"/>
    <x v="2"/>
    <x v="1"/>
    <x v="2"/>
    <x v="1"/>
    <x v="1"/>
    <x v="1"/>
    <x v="0"/>
    <x v="0"/>
    <x v="1"/>
    <x v="0"/>
    <x v="1"/>
    <x v="0"/>
  </r>
  <r>
    <n v="57"/>
    <n v="24"/>
    <x v="0"/>
    <x v="0"/>
    <x v="2"/>
    <x v="1"/>
    <x v="1"/>
    <x v="1"/>
    <x v="0"/>
    <x v="0"/>
    <x v="1"/>
    <x v="0"/>
    <x v="1"/>
    <x v="0"/>
  </r>
  <r>
    <n v="58"/>
    <n v="32"/>
    <x v="0"/>
    <x v="2"/>
    <x v="3"/>
    <x v="1"/>
    <x v="1"/>
    <x v="1"/>
    <x v="0"/>
    <x v="1"/>
    <x v="0"/>
    <x v="1"/>
    <x v="0"/>
    <x v="0"/>
  </r>
  <r>
    <n v="59"/>
    <n v="28"/>
    <x v="0"/>
    <x v="3"/>
    <x v="3"/>
    <x v="1"/>
    <x v="1"/>
    <x v="2"/>
    <x v="0"/>
    <x v="1"/>
    <x v="0"/>
    <x v="1"/>
    <x v="1"/>
    <x v="0"/>
  </r>
  <r>
    <n v="60"/>
    <n v="30"/>
    <x v="0"/>
    <x v="2"/>
    <x v="12"/>
    <x v="1"/>
    <x v="2"/>
    <x v="2"/>
    <x v="0"/>
    <x v="1"/>
    <x v="0"/>
    <x v="1"/>
    <x v="0"/>
    <x v="0"/>
  </r>
  <r>
    <n v="61"/>
    <n v="25"/>
    <x v="0"/>
    <x v="2"/>
    <x v="13"/>
    <x v="1"/>
    <x v="1"/>
    <x v="2"/>
    <x v="1"/>
    <x v="1"/>
    <x v="0"/>
    <x v="1"/>
    <x v="0"/>
    <x v="0"/>
  </r>
  <r>
    <n v="62"/>
    <n v="38"/>
    <x v="0"/>
    <x v="3"/>
    <x v="4"/>
    <x v="0"/>
    <x v="0"/>
    <x v="0"/>
    <x v="0"/>
    <x v="1"/>
    <x v="0"/>
    <x v="1"/>
    <x v="0"/>
    <x v="0"/>
  </r>
  <r>
    <n v="63"/>
    <n v="19"/>
    <x v="0"/>
    <x v="2"/>
    <x v="4"/>
    <x v="0"/>
    <x v="0"/>
    <x v="0"/>
    <x v="1"/>
    <x v="1"/>
    <x v="0"/>
    <x v="1"/>
    <x v="0"/>
    <x v="0"/>
  </r>
  <r>
    <n v="64"/>
    <n v="28"/>
    <x v="2"/>
    <x v="1"/>
    <x v="14"/>
    <x v="1"/>
    <x v="2"/>
    <x v="1"/>
    <x v="0"/>
    <x v="1"/>
    <x v="0"/>
    <x v="1"/>
    <x v="0"/>
    <x v="0"/>
  </r>
  <r>
    <n v="65"/>
    <n v="38"/>
    <x v="0"/>
    <x v="3"/>
    <x v="11"/>
    <x v="1"/>
    <x v="1"/>
    <x v="2"/>
    <x v="1"/>
    <x v="1"/>
    <x v="1"/>
    <x v="1"/>
    <x v="0"/>
    <x v="0"/>
  </r>
  <r>
    <n v="66"/>
    <n v="27"/>
    <x v="0"/>
    <x v="2"/>
    <x v="3"/>
    <x v="1"/>
    <x v="1"/>
    <x v="2"/>
    <x v="0"/>
    <x v="1"/>
    <x v="0"/>
    <x v="1"/>
    <x v="0"/>
    <x v="0"/>
  </r>
  <r>
    <n v="67"/>
    <n v="38"/>
    <x v="0"/>
    <x v="3"/>
    <x v="0"/>
    <x v="0"/>
    <x v="0"/>
    <x v="0"/>
    <x v="1"/>
    <x v="1"/>
    <x v="0"/>
    <x v="1"/>
    <x v="0"/>
    <x v="0"/>
  </r>
  <r>
    <n v="68"/>
    <n v="23"/>
    <x v="1"/>
    <x v="0"/>
    <x v="0"/>
    <x v="1"/>
    <x v="1"/>
    <x v="2"/>
    <x v="0"/>
    <x v="1"/>
    <x v="0"/>
    <x v="1"/>
    <x v="0"/>
    <x v="0"/>
  </r>
  <r>
    <n v="69"/>
    <n v="24"/>
    <x v="0"/>
    <x v="2"/>
    <x v="8"/>
    <x v="1"/>
    <x v="1"/>
    <x v="2"/>
    <x v="0"/>
    <x v="0"/>
    <x v="1"/>
    <x v="0"/>
    <x v="1"/>
    <x v="0"/>
  </r>
  <r>
    <n v="70"/>
    <n v="28"/>
    <x v="0"/>
    <x v="3"/>
    <x v="0"/>
    <x v="1"/>
    <x v="1"/>
    <x v="1"/>
    <x v="1"/>
    <x v="1"/>
    <x v="0"/>
    <x v="0"/>
    <x v="1"/>
    <x v="0"/>
  </r>
  <r>
    <n v="71"/>
    <n v="21"/>
    <x v="0"/>
    <x v="1"/>
    <x v="5"/>
    <x v="1"/>
    <x v="1"/>
    <x v="1"/>
    <x v="0"/>
    <x v="0"/>
    <x v="1"/>
    <x v="1"/>
    <x v="1"/>
    <x v="0"/>
  </r>
  <r>
    <n v="72"/>
    <n v="28"/>
    <x v="1"/>
    <x v="2"/>
    <x v="0"/>
    <x v="0"/>
    <x v="0"/>
    <x v="0"/>
    <x v="1"/>
    <x v="1"/>
    <x v="0"/>
    <x v="1"/>
    <x v="0"/>
    <x v="0"/>
  </r>
  <r>
    <n v="73"/>
    <n v="33"/>
    <x v="1"/>
    <x v="3"/>
    <x v="1"/>
    <x v="1"/>
    <x v="2"/>
    <x v="2"/>
    <x v="0"/>
    <x v="1"/>
    <x v="0"/>
    <x v="1"/>
    <x v="0"/>
    <x v="0"/>
  </r>
  <r>
    <n v="74"/>
    <n v="33"/>
    <x v="2"/>
    <x v="3"/>
    <x v="3"/>
    <x v="1"/>
    <x v="1"/>
    <x v="1"/>
    <x v="1"/>
    <x v="1"/>
    <x v="0"/>
    <x v="1"/>
    <x v="0"/>
    <x v="0"/>
  </r>
  <r>
    <n v="75"/>
    <n v="36"/>
    <x v="0"/>
    <x v="2"/>
    <x v="3"/>
    <x v="1"/>
    <x v="2"/>
    <x v="1"/>
    <x v="0"/>
    <x v="1"/>
    <x v="0"/>
    <x v="1"/>
    <x v="0"/>
    <x v="0"/>
  </r>
  <r>
    <n v="76"/>
    <n v="22"/>
    <x v="0"/>
    <x v="2"/>
    <x v="6"/>
    <x v="1"/>
    <x v="1"/>
    <x v="2"/>
    <x v="1"/>
    <x v="1"/>
    <x v="0"/>
    <x v="1"/>
    <x v="0"/>
    <x v="0"/>
  </r>
  <r>
    <n v="77"/>
    <n v="29"/>
    <x v="0"/>
    <x v="2"/>
    <x v="11"/>
    <x v="1"/>
    <x v="1"/>
    <x v="1"/>
    <x v="0"/>
    <x v="0"/>
    <x v="0"/>
    <x v="1"/>
    <x v="1"/>
    <x v="0"/>
  </r>
  <r>
    <n v="78"/>
    <n v="24"/>
    <x v="0"/>
    <x v="0"/>
    <x v="9"/>
    <x v="1"/>
    <x v="1"/>
    <x v="1"/>
    <x v="0"/>
    <x v="0"/>
    <x v="0"/>
    <x v="0"/>
    <x v="1"/>
    <x v="0"/>
  </r>
  <r>
    <n v="79"/>
    <n v="34"/>
    <x v="0"/>
    <x v="0"/>
    <x v="1"/>
    <x v="1"/>
    <x v="1"/>
    <x v="1"/>
    <x v="0"/>
    <x v="0"/>
    <x v="1"/>
    <x v="1"/>
    <x v="1"/>
    <x v="0"/>
  </r>
  <r>
    <n v="80"/>
    <n v="32"/>
    <x v="0"/>
    <x v="2"/>
    <x v="8"/>
    <x v="1"/>
    <x v="1"/>
    <x v="1"/>
    <x v="0"/>
    <x v="0"/>
    <x v="1"/>
    <x v="0"/>
    <x v="1"/>
    <x v="0"/>
  </r>
  <r>
    <n v="81"/>
    <n v="42"/>
    <x v="0"/>
    <x v="3"/>
    <x v="3"/>
    <x v="1"/>
    <x v="1"/>
    <x v="1"/>
    <x v="0"/>
    <x v="1"/>
    <x v="1"/>
    <x v="1"/>
    <x v="0"/>
    <x v="0"/>
  </r>
  <r>
    <n v="82"/>
    <n v="27"/>
    <x v="0"/>
    <x v="1"/>
    <x v="15"/>
    <x v="0"/>
    <x v="0"/>
    <x v="0"/>
    <x v="1"/>
    <x v="1"/>
    <x v="0"/>
    <x v="1"/>
    <x v="0"/>
    <x v="0"/>
  </r>
  <r>
    <n v="83"/>
    <n v="22"/>
    <x v="0"/>
    <x v="3"/>
    <x v="4"/>
    <x v="1"/>
    <x v="1"/>
    <x v="1"/>
    <x v="0"/>
    <x v="0"/>
    <x v="1"/>
    <x v="0"/>
    <x v="1"/>
    <x v="0"/>
  </r>
  <r>
    <n v="84"/>
    <n v="32"/>
    <x v="0"/>
    <x v="1"/>
    <x v="8"/>
    <x v="1"/>
    <x v="1"/>
    <x v="1"/>
    <x v="0"/>
    <x v="1"/>
    <x v="0"/>
    <x v="1"/>
    <x v="0"/>
    <x v="0"/>
  </r>
  <r>
    <n v="85"/>
    <n v="28"/>
    <x v="0"/>
    <x v="3"/>
    <x v="16"/>
    <x v="1"/>
    <x v="1"/>
    <x v="2"/>
    <x v="1"/>
    <x v="1"/>
    <x v="0"/>
    <x v="1"/>
    <x v="1"/>
    <x v="0"/>
  </r>
  <r>
    <n v="86"/>
    <n v="34"/>
    <x v="0"/>
    <x v="1"/>
    <x v="3"/>
    <x v="1"/>
    <x v="1"/>
    <x v="1"/>
    <x v="1"/>
    <x v="1"/>
    <x v="0"/>
    <x v="1"/>
    <x v="1"/>
    <x v="0"/>
  </r>
  <r>
    <n v="87"/>
    <n v="23"/>
    <x v="0"/>
    <x v="2"/>
    <x v="4"/>
    <x v="1"/>
    <x v="2"/>
    <x v="1"/>
    <x v="1"/>
    <x v="1"/>
    <x v="0"/>
    <x v="1"/>
    <x v="0"/>
    <x v="0"/>
  </r>
  <r>
    <n v="88"/>
    <n v="26"/>
    <x v="0"/>
    <x v="0"/>
    <x v="3"/>
    <x v="1"/>
    <x v="2"/>
    <x v="2"/>
    <x v="1"/>
    <x v="1"/>
    <x v="0"/>
    <x v="1"/>
    <x v="0"/>
    <x v="0"/>
  </r>
  <r>
    <n v="89"/>
    <n v="18"/>
    <x v="0"/>
    <x v="0"/>
    <x v="0"/>
    <x v="1"/>
    <x v="1"/>
    <x v="2"/>
    <x v="1"/>
    <x v="1"/>
    <x v="0"/>
    <x v="1"/>
    <x v="0"/>
    <x v="0"/>
  </r>
  <r>
    <n v="90"/>
    <n v="38"/>
    <x v="0"/>
    <x v="1"/>
    <x v="2"/>
    <x v="0"/>
    <x v="0"/>
    <x v="0"/>
    <x v="0"/>
    <x v="0"/>
    <x v="1"/>
    <x v="0"/>
    <x v="1"/>
    <x v="0"/>
  </r>
  <r>
    <n v="91"/>
    <n v="36"/>
    <x v="0"/>
    <x v="2"/>
    <x v="3"/>
    <x v="1"/>
    <x v="1"/>
    <x v="2"/>
    <x v="1"/>
    <x v="1"/>
    <x v="0"/>
    <x v="1"/>
    <x v="0"/>
    <x v="0"/>
  </r>
  <r>
    <n v="92"/>
    <n v="26"/>
    <x v="0"/>
    <x v="2"/>
    <x v="4"/>
    <x v="1"/>
    <x v="1"/>
    <x v="2"/>
    <x v="1"/>
    <x v="1"/>
    <x v="0"/>
    <x v="1"/>
    <x v="0"/>
    <x v="0"/>
  </r>
  <r>
    <n v="93"/>
    <n v="19"/>
    <x v="2"/>
    <x v="2"/>
    <x v="9"/>
    <x v="1"/>
    <x v="1"/>
    <x v="2"/>
    <x v="0"/>
    <x v="1"/>
    <x v="1"/>
    <x v="1"/>
    <x v="0"/>
    <x v="0"/>
  </r>
  <r>
    <n v="94"/>
    <n v="24"/>
    <x v="0"/>
    <x v="1"/>
    <x v="17"/>
    <x v="1"/>
    <x v="1"/>
    <x v="1"/>
    <x v="0"/>
    <x v="0"/>
    <x v="1"/>
    <x v="0"/>
    <x v="1"/>
    <x v="0"/>
  </r>
  <r>
    <n v="95"/>
    <n v="24"/>
    <x v="0"/>
    <x v="2"/>
    <x v="8"/>
    <x v="1"/>
    <x v="1"/>
    <x v="1"/>
    <x v="0"/>
    <x v="1"/>
    <x v="0"/>
    <x v="1"/>
    <x v="0"/>
    <x v="0"/>
  </r>
  <r>
    <n v="96"/>
    <n v="32"/>
    <x v="0"/>
    <x v="0"/>
    <x v="2"/>
    <x v="1"/>
    <x v="1"/>
    <x v="1"/>
    <x v="1"/>
    <x v="1"/>
    <x v="0"/>
    <x v="1"/>
    <x v="0"/>
    <x v="0"/>
  </r>
  <r>
    <n v="97"/>
    <n v="22"/>
    <x v="0"/>
    <x v="3"/>
    <x v="8"/>
    <x v="1"/>
    <x v="1"/>
    <x v="2"/>
    <x v="0"/>
    <x v="0"/>
    <x v="1"/>
    <x v="0"/>
    <x v="1"/>
    <x v="0"/>
  </r>
  <r>
    <n v="98"/>
    <n v="22"/>
    <x v="0"/>
    <x v="2"/>
    <x v="3"/>
    <x v="1"/>
    <x v="2"/>
    <x v="1"/>
    <x v="1"/>
    <x v="1"/>
    <x v="0"/>
    <x v="0"/>
    <x v="1"/>
    <x v="0"/>
  </r>
  <r>
    <n v="99"/>
    <n v="29"/>
    <x v="0"/>
    <x v="3"/>
    <x v="3"/>
    <x v="1"/>
    <x v="1"/>
    <x v="2"/>
    <x v="0"/>
    <x v="0"/>
    <x v="0"/>
    <x v="0"/>
    <x v="0"/>
    <x v="0"/>
  </r>
  <r>
    <n v="100"/>
    <n v="42"/>
    <x v="2"/>
    <x v="2"/>
    <x v="4"/>
    <x v="1"/>
    <x v="2"/>
    <x v="2"/>
    <x v="1"/>
    <x v="0"/>
    <x v="1"/>
    <x v="0"/>
    <x v="1"/>
    <x v="0"/>
  </r>
  <r>
    <n v="101"/>
    <n v="38"/>
    <x v="0"/>
    <x v="1"/>
    <x v="0"/>
    <x v="1"/>
    <x v="1"/>
    <x v="2"/>
    <x v="0"/>
    <x v="0"/>
    <x v="0"/>
    <x v="0"/>
    <x v="0"/>
    <x v="0"/>
  </r>
  <r>
    <n v="102"/>
    <n v="33"/>
    <x v="1"/>
    <x v="3"/>
    <x v="1"/>
    <x v="1"/>
    <x v="2"/>
    <x v="2"/>
    <x v="1"/>
    <x v="0"/>
    <x v="0"/>
    <x v="1"/>
    <x v="0"/>
    <x v="0"/>
  </r>
  <r>
    <n v="103"/>
    <n v="38"/>
    <x v="0"/>
    <x v="3"/>
    <x v="4"/>
    <x v="0"/>
    <x v="0"/>
    <x v="0"/>
    <x v="0"/>
    <x v="1"/>
    <x v="0"/>
    <x v="1"/>
    <x v="0"/>
    <x v="0"/>
  </r>
  <r>
    <n v="104"/>
    <n v="29"/>
    <x v="0"/>
    <x v="3"/>
    <x v="11"/>
    <x v="1"/>
    <x v="1"/>
    <x v="1"/>
    <x v="0"/>
    <x v="0"/>
    <x v="1"/>
    <x v="0"/>
    <x v="1"/>
    <x v="0"/>
  </r>
  <r>
    <n v="105"/>
    <n v="24"/>
    <x v="0"/>
    <x v="1"/>
    <x v="13"/>
    <x v="1"/>
    <x v="1"/>
    <x v="1"/>
    <x v="0"/>
    <x v="0"/>
    <x v="1"/>
    <x v="0"/>
    <x v="1"/>
    <x v="0"/>
  </r>
  <r>
    <n v="106"/>
    <n v="28"/>
    <x v="2"/>
    <x v="3"/>
    <x v="14"/>
    <x v="1"/>
    <x v="2"/>
    <x v="1"/>
    <x v="1"/>
    <x v="1"/>
    <x v="0"/>
    <x v="1"/>
    <x v="0"/>
    <x v="0"/>
  </r>
  <r>
    <n v="107"/>
    <n v="42"/>
    <x v="2"/>
    <x v="2"/>
    <x v="4"/>
    <x v="1"/>
    <x v="2"/>
    <x v="2"/>
    <x v="0"/>
    <x v="0"/>
    <x v="1"/>
    <x v="0"/>
    <x v="1"/>
    <x v="0"/>
  </r>
  <r>
    <n v="108"/>
    <n v="32"/>
    <x v="0"/>
    <x v="0"/>
    <x v="3"/>
    <x v="1"/>
    <x v="1"/>
    <x v="2"/>
    <x v="0"/>
    <x v="1"/>
    <x v="0"/>
    <x v="1"/>
    <x v="0"/>
    <x v="0"/>
  </r>
  <r>
    <n v="109"/>
    <n v="27"/>
    <x v="0"/>
    <x v="1"/>
    <x v="15"/>
    <x v="1"/>
    <x v="1"/>
    <x v="1"/>
    <x v="1"/>
    <x v="1"/>
    <x v="0"/>
    <x v="1"/>
    <x v="0"/>
    <x v="0"/>
  </r>
  <r>
    <n v="110"/>
    <n v="28"/>
    <x v="0"/>
    <x v="3"/>
    <x v="3"/>
    <x v="1"/>
    <x v="1"/>
    <x v="2"/>
    <x v="0"/>
    <x v="1"/>
    <x v="0"/>
    <x v="1"/>
    <x v="1"/>
    <x v="0"/>
  </r>
  <r>
    <n v="111"/>
    <n v="23"/>
    <x v="0"/>
    <x v="2"/>
    <x v="4"/>
    <x v="1"/>
    <x v="2"/>
    <x v="1"/>
    <x v="1"/>
    <x v="1"/>
    <x v="0"/>
    <x v="1"/>
    <x v="0"/>
    <x v="0"/>
  </r>
  <r>
    <n v="112"/>
    <n v="29"/>
    <x v="0"/>
    <x v="3"/>
    <x v="3"/>
    <x v="1"/>
    <x v="1"/>
    <x v="2"/>
    <x v="1"/>
    <x v="1"/>
    <x v="0"/>
    <x v="1"/>
    <x v="0"/>
    <x v="0"/>
  </r>
  <r>
    <n v="113"/>
    <n v="29"/>
    <x v="0"/>
    <x v="2"/>
    <x v="9"/>
    <x v="1"/>
    <x v="1"/>
    <x v="2"/>
    <x v="1"/>
    <x v="0"/>
    <x v="0"/>
    <x v="0"/>
    <x v="1"/>
    <x v="0"/>
  </r>
  <r>
    <n v="114"/>
    <n v="35"/>
    <x v="0"/>
    <x v="2"/>
    <x v="8"/>
    <x v="0"/>
    <x v="0"/>
    <x v="0"/>
    <x v="0"/>
    <x v="0"/>
    <x v="1"/>
    <x v="0"/>
    <x v="1"/>
    <x v="0"/>
  </r>
  <r>
    <n v="115"/>
    <n v="38"/>
    <x v="0"/>
    <x v="1"/>
    <x v="8"/>
    <x v="0"/>
    <x v="0"/>
    <x v="0"/>
    <x v="0"/>
    <x v="0"/>
    <x v="1"/>
    <x v="0"/>
    <x v="1"/>
    <x v="0"/>
  </r>
  <r>
    <n v="116"/>
    <n v="30"/>
    <x v="0"/>
    <x v="0"/>
    <x v="2"/>
    <x v="1"/>
    <x v="1"/>
    <x v="1"/>
    <x v="0"/>
    <x v="1"/>
    <x v="0"/>
    <x v="1"/>
    <x v="0"/>
    <x v="0"/>
  </r>
  <r>
    <n v="117"/>
    <n v="21"/>
    <x v="0"/>
    <x v="0"/>
    <x v="5"/>
    <x v="1"/>
    <x v="1"/>
    <x v="1"/>
    <x v="1"/>
    <x v="0"/>
    <x v="1"/>
    <x v="0"/>
    <x v="1"/>
    <x v="0"/>
  </r>
  <r>
    <n v="118"/>
    <n v="32"/>
    <x v="0"/>
    <x v="1"/>
    <x v="8"/>
    <x v="0"/>
    <x v="0"/>
    <x v="0"/>
    <x v="0"/>
    <x v="1"/>
    <x v="0"/>
    <x v="0"/>
    <x v="0"/>
    <x v="0"/>
  </r>
  <r>
    <n v="119"/>
    <n v="24"/>
    <x v="0"/>
    <x v="0"/>
    <x v="9"/>
    <x v="1"/>
    <x v="1"/>
    <x v="2"/>
    <x v="0"/>
    <x v="0"/>
    <x v="0"/>
    <x v="0"/>
    <x v="1"/>
    <x v="0"/>
  </r>
  <r>
    <n v="120"/>
    <n v="28"/>
    <x v="0"/>
    <x v="1"/>
    <x v="16"/>
    <x v="1"/>
    <x v="1"/>
    <x v="2"/>
    <x v="1"/>
    <x v="1"/>
    <x v="0"/>
    <x v="0"/>
    <x v="1"/>
    <x v="0"/>
  </r>
  <r>
    <n v="121"/>
    <n v="26"/>
    <x v="0"/>
    <x v="2"/>
    <x v="4"/>
    <x v="1"/>
    <x v="1"/>
    <x v="2"/>
    <x v="1"/>
    <x v="1"/>
    <x v="0"/>
    <x v="0"/>
    <x v="0"/>
    <x v="0"/>
  </r>
  <r>
    <n v="122"/>
    <n v="26"/>
    <x v="0"/>
    <x v="1"/>
    <x v="3"/>
    <x v="1"/>
    <x v="2"/>
    <x v="2"/>
    <x v="1"/>
    <x v="1"/>
    <x v="0"/>
    <x v="1"/>
    <x v="0"/>
    <x v="0"/>
  </r>
  <r>
    <n v="123"/>
    <n v="25"/>
    <x v="0"/>
    <x v="2"/>
    <x v="13"/>
    <x v="1"/>
    <x v="1"/>
    <x v="2"/>
    <x v="1"/>
    <x v="1"/>
    <x v="0"/>
    <x v="0"/>
    <x v="0"/>
    <x v="0"/>
  </r>
  <r>
    <n v="124"/>
    <n v="30"/>
    <x v="0"/>
    <x v="1"/>
    <x v="12"/>
    <x v="1"/>
    <x v="2"/>
    <x v="2"/>
    <x v="0"/>
    <x v="1"/>
    <x v="0"/>
    <x v="1"/>
    <x v="0"/>
    <x v="0"/>
  </r>
  <r>
    <n v="125"/>
    <n v="18"/>
    <x v="0"/>
    <x v="0"/>
    <x v="0"/>
    <x v="1"/>
    <x v="1"/>
    <x v="2"/>
    <x v="1"/>
    <x v="1"/>
    <x v="0"/>
    <x v="1"/>
    <x v="0"/>
    <x v="0"/>
  </r>
  <r>
    <n v="126"/>
    <n v="31"/>
    <x v="0"/>
    <x v="3"/>
    <x v="5"/>
    <x v="1"/>
    <x v="1"/>
    <x v="2"/>
    <x v="0"/>
    <x v="0"/>
    <x v="1"/>
    <x v="0"/>
    <x v="1"/>
    <x v="0"/>
  </r>
  <r>
    <n v="127"/>
    <n v="20"/>
    <x v="0"/>
    <x v="2"/>
    <x v="6"/>
    <x v="1"/>
    <x v="2"/>
    <x v="1"/>
    <x v="1"/>
    <x v="1"/>
    <x v="0"/>
    <x v="1"/>
    <x v="0"/>
    <x v="0"/>
  </r>
  <r>
    <n v="128"/>
    <n v="20"/>
    <x v="0"/>
    <x v="3"/>
    <x v="3"/>
    <x v="1"/>
    <x v="1"/>
    <x v="2"/>
    <x v="0"/>
    <x v="1"/>
    <x v="0"/>
    <x v="1"/>
    <x v="0"/>
    <x v="0"/>
  </r>
  <r>
    <n v="129"/>
    <n v="18"/>
    <x v="0"/>
    <x v="2"/>
    <x v="6"/>
    <x v="1"/>
    <x v="1"/>
    <x v="2"/>
    <x v="1"/>
    <x v="1"/>
    <x v="0"/>
    <x v="1"/>
    <x v="0"/>
    <x v="0"/>
  </r>
  <r>
    <n v="130"/>
    <n v="34"/>
    <x v="0"/>
    <x v="1"/>
    <x v="13"/>
    <x v="1"/>
    <x v="1"/>
    <x v="2"/>
    <x v="1"/>
    <x v="1"/>
    <x v="0"/>
    <x v="1"/>
    <x v="0"/>
    <x v="0"/>
  </r>
  <r>
    <n v="131"/>
    <n v="29"/>
    <x v="0"/>
    <x v="3"/>
    <x v="5"/>
    <x v="1"/>
    <x v="1"/>
    <x v="1"/>
    <x v="0"/>
    <x v="0"/>
    <x v="1"/>
    <x v="0"/>
    <x v="1"/>
    <x v="0"/>
  </r>
  <r>
    <n v="132"/>
    <n v="28"/>
    <x v="0"/>
    <x v="3"/>
    <x v="6"/>
    <x v="1"/>
    <x v="1"/>
    <x v="2"/>
    <x v="1"/>
    <x v="1"/>
    <x v="0"/>
    <x v="1"/>
    <x v="1"/>
    <x v="0"/>
  </r>
  <r>
    <n v="133"/>
    <n v="22"/>
    <x v="0"/>
    <x v="2"/>
    <x v="18"/>
    <x v="1"/>
    <x v="2"/>
    <x v="2"/>
    <x v="1"/>
    <x v="1"/>
    <x v="0"/>
    <x v="1"/>
    <x v="0"/>
    <x v="0"/>
  </r>
  <r>
    <n v="134"/>
    <n v="30"/>
    <x v="0"/>
    <x v="0"/>
    <x v="3"/>
    <x v="1"/>
    <x v="2"/>
    <x v="2"/>
    <x v="1"/>
    <x v="1"/>
    <x v="0"/>
    <x v="1"/>
    <x v="0"/>
    <x v="0"/>
  </r>
  <r>
    <n v="135"/>
    <n v="30"/>
    <x v="0"/>
    <x v="1"/>
    <x v="13"/>
    <x v="1"/>
    <x v="2"/>
    <x v="2"/>
    <x v="1"/>
    <x v="1"/>
    <x v="0"/>
    <x v="1"/>
    <x v="1"/>
    <x v="0"/>
  </r>
  <r>
    <n v="136"/>
    <n v="27"/>
    <x v="0"/>
    <x v="3"/>
    <x v="9"/>
    <x v="1"/>
    <x v="1"/>
    <x v="1"/>
    <x v="0"/>
    <x v="0"/>
    <x v="1"/>
    <x v="0"/>
    <x v="1"/>
    <x v="0"/>
  </r>
  <r>
    <n v="137"/>
    <n v="32"/>
    <x v="0"/>
    <x v="0"/>
    <x v="6"/>
    <x v="1"/>
    <x v="2"/>
    <x v="1"/>
    <x v="1"/>
    <x v="1"/>
    <x v="0"/>
    <x v="1"/>
    <x v="0"/>
    <x v="0"/>
  </r>
  <r>
    <n v="138"/>
    <n v="31"/>
    <x v="0"/>
    <x v="3"/>
    <x v="13"/>
    <x v="1"/>
    <x v="2"/>
    <x v="2"/>
    <x v="1"/>
    <x v="1"/>
    <x v="0"/>
    <x v="1"/>
    <x v="0"/>
    <x v="0"/>
  </r>
  <r>
    <n v="139"/>
    <n v="26"/>
    <x v="0"/>
    <x v="2"/>
    <x v="17"/>
    <x v="1"/>
    <x v="1"/>
    <x v="2"/>
    <x v="0"/>
    <x v="0"/>
    <x v="1"/>
    <x v="1"/>
    <x v="1"/>
    <x v="0"/>
  </r>
  <r>
    <n v="140"/>
    <n v="27"/>
    <x v="0"/>
    <x v="3"/>
    <x v="8"/>
    <x v="1"/>
    <x v="1"/>
    <x v="2"/>
    <x v="0"/>
    <x v="1"/>
    <x v="0"/>
    <x v="1"/>
    <x v="0"/>
    <x v="0"/>
  </r>
  <r>
    <n v="141"/>
    <n v="19"/>
    <x v="0"/>
    <x v="3"/>
    <x v="4"/>
    <x v="1"/>
    <x v="1"/>
    <x v="2"/>
    <x v="1"/>
    <x v="1"/>
    <x v="0"/>
    <x v="1"/>
    <x v="0"/>
    <x v="0"/>
  </r>
  <r>
    <n v="142"/>
    <n v="25"/>
    <x v="0"/>
    <x v="1"/>
    <x v="8"/>
    <x v="1"/>
    <x v="1"/>
    <x v="1"/>
    <x v="0"/>
    <x v="1"/>
    <x v="0"/>
    <x v="1"/>
    <x v="0"/>
    <x v="0"/>
  </r>
  <r>
    <n v="143"/>
    <n v="26"/>
    <x v="0"/>
    <x v="1"/>
    <x v="4"/>
    <x v="1"/>
    <x v="2"/>
    <x v="2"/>
    <x v="1"/>
    <x v="1"/>
    <x v="0"/>
    <x v="0"/>
    <x v="0"/>
    <x v="0"/>
  </r>
  <r>
    <n v="144"/>
    <n v="37"/>
    <x v="0"/>
    <x v="3"/>
    <x v="2"/>
    <x v="1"/>
    <x v="1"/>
    <x v="2"/>
    <x v="0"/>
    <x v="0"/>
    <x v="1"/>
    <x v="1"/>
    <x v="1"/>
    <x v="0"/>
  </r>
  <r>
    <n v="145"/>
    <n v="36"/>
    <x v="0"/>
    <x v="0"/>
    <x v="6"/>
    <x v="0"/>
    <x v="0"/>
    <x v="0"/>
    <x v="1"/>
    <x v="1"/>
    <x v="0"/>
    <x v="1"/>
    <x v="0"/>
    <x v="0"/>
  </r>
  <r>
    <n v="146"/>
    <n v="30"/>
    <x v="0"/>
    <x v="2"/>
    <x v="19"/>
    <x v="1"/>
    <x v="1"/>
    <x v="2"/>
    <x v="1"/>
    <x v="1"/>
    <x v="0"/>
    <x v="1"/>
    <x v="0"/>
    <x v="0"/>
  </r>
  <r>
    <n v="147"/>
    <n v="37"/>
    <x v="0"/>
    <x v="1"/>
    <x v="3"/>
    <x v="1"/>
    <x v="1"/>
    <x v="2"/>
    <x v="0"/>
    <x v="0"/>
    <x v="0"/>
    <x v="0"/>
    <x v="1"/>
    <x v="0"/>
  </r>
  <r>
    <n v="148"/>
    <n v="28"/>
    <x v="0"/>
    <x v="2"/>
    <x v="6"/>
    <x v="0"/>
    <x v="0"/>
    <x v="0"/>
    <x v="1"/>
    <x v="1"/>
    <x v="0"/>
    <x v="1"/>
    <x v="0"/>
    <x v="0"/>
  </r>
  <r>
    <n v="149"/>
    <n v="32"/>
    <x v="0"/>
    <x v="1"/>
    <x v="20"/>
    <x v="1"/>
    <x v="1"/>
    <x v="1"/>
    <x v="0"/>
    <x v="1"/>
    <x v="0"/>
    <x v="0"/>
    <x v="1"/>
    <x v="0"/>
  </r>
  <r>
    <n v="150"/>
    <n v="20"/>
    <x v="0"/>
    <x v="1"/>
    <x v="3"/>
    <x v="1"/>
    <x v="1"/>
    <x v="2"/>
    <x v="1"/>
    <x v="1"/>
    <x v="0"/>
    <x v="1"/>
    <x v="0"/>
    <x v="0"/>
  </r>
  <r>
    <n v="151"/>
    <n v="24"/>
    <x v="0"/>
    <x v="0"/>
    <x v="6"/>
    <x v="1"/>
    <x v="2"/>
    <x v="2"/>
    <x v="1"/>
    <x v="1"/>
    <x v="0"/>
    <x v="1"/>
    <x v="0"/>
    <x v="0"/>
  </r>
  <r>
    <n v="152"/>
    <n v="35"/>
    <x v="0"/>
    <x v="2"/>
    <x v="2"/>
    <x v="1"/>
    <x v="1"/>
    <x v="1"/>
    <x v="0"/>
    <x v="0"/>
    <x v="0"/>
    <x v="1"/>
    <x v="1"/>
    <x v="0"/>
  </r>
  <r>
    <n v="153"/>
    <n v="27"/>
    <x v="0"/>
    <x v="3"/>
    <x v="2"/>
    <x v="1"/>
    <x v="1"/>
    <x v="2"/>
    <x v="0"/>
    <x v="0"/>
    <x v="0"/>
    <x v="1"/>
    <x v="1"/>
    <x v="0"/>
  </r>
  <r>
    <n v="154"/>
    <n v="30"/>
    <x v="0"/>
    <x v="2"/>
    <x v="2"/>
    <x v="1"/>
    <x v="1"/>
    <x v="2"/>
    <x v="1"/>
    <x v="1"/>
    <x v="0"/>
    <x v="1"/>
    <x v="0"/>
    <x v="0"/>
  </r>
  <r>
    <n v="155"/>
    <n v="40"/>
    <x v="2"/>
    <x v="3"/>
    <x v="3"/>
    <x v="1"/>
    <x v="2"/>
    <x v="2"/>
    <x v="1"/>
    <x v="0"/>
    <x v="0"/>
    <x v="0"/>
    <x v="0"/>
    <x v="0"/>
  </r>
  <r>
    <n v="156"/>
    <n v="29"/>
    <x v="0"/>
    <x v="3"/>
    <x v="6"/>
    <x v="1"/>
    <x v="1"/>
    <x v="2"/>
    <x v="1"/>
    <x v="1"/>
    <x v="0"/>
    <x v="1"/>
    <x v="0"/>
    <x v="0"/>
  </r>
  <r>
    <n v="157"/>
    <n v="31"/>
    <x v="0"/>
    <x v="2"/>
    <x v="8"/>
    <x v="1"/>
    <x v="1"/>
    <x v="1"/>
    <x v="0"/>
    <x v="0"/>
    <x v="0"/>
    <x v="0"/>
    <x v="1"/>
    <x v="0"/>
  </r>
  <r>
    <n v="158"/>
    <n v="38"/>
    <x v="0"/>
    <x v="2"/>
    <x v="3"/>
    <x v="1"/>
    <x v="1"/>
    <x v="2"/>
    <x v="1"/>
    <x v="0"/>
    <x v="1"/>
    <x v="0"/>
    <x v="0"/>
    <x v="0"/>
  </r>
  <r>
    <n v="159"/>
    <n v="20"/>
    <x v="0"/>
    <x v="3"/>
    <x v="3"/>
    <x v="1"/>
    <x v="1"/>
    <x v="2"/>
    <x v="0"/>
    <x v="1"/>
    <x v="0"/>
    <x v="1"/>
    <x v="0"/>
    <x v="0"/>
  </r>
  <r>
    <n v="160"/>
    <n v="28"/>
    <x v="0"/>
    <x v="0"/>
    <x v="18"/>
    <x v="0"/>
    <x v="0"/>
    <x v="0"/>
    <x v="0"/>
    <x v="1"/>
    <x v="0"/>
    <x v="1"/>
    <x v="0"/>
    <x v="0"/>
  </r>
  <r>
    <n v="161"/>
    <n v="20"/>
    <x v="0"/>
    <x v="3"/>
    <x v="3"/>
    <x v="1"/>
    <x v="1"/>
    <x v="2"/>
    <x v="0"/>
    <x v="1"/>
    <x v="0"/>
    <x v="1"/>
    <x v="0"/>
    <x v="0"/>
  </r>
  <r>
    <n v="162"/>
    <n v="32"/>
    <x v="0"/>
    <x v="2"/>
    <x v="3"/>
    <x v="1"/>
    <x v="2"/>
    <x v="1"/>
    <x v="1"/>
    <x v="1"/>
    <x v="0"/>
    <x v="1"/>
    <x v="0"/>
    <x v="0"/>
  </r>
  <r>
    <n v="163"/>
    <n v="28"/>
    <x v="0"/>
    <x v="1"/>
    <x v="2"/>
    <x v="1"/>
    <x v="1"/>
    <x v="1"/>
    <x v="0"/>
    <x v="0"/>
    <x v="0"/>
    <x v="1"/>
    <x v="1"/>
    <x v="0"/>
  </r>
  <r>
    <n v="164"/>
    <n v="35"/>
    <x v="1"/>
    <x v="2"/>
    <x v="3"/>
    <x v="0"/>
    <x v="0"/>
    <x v="0"/>
    <x v="1"/>
    <x v="1"/>
    <x v="0"/>
    <x v="0"/>
    <x v="0"/>
    <x v="0"/>
  </r>
  <r>
    <n v="165"/>
    <n v="22"/>
    <x v="0"/>
    <x v="3"/>
    <x v="13"/>
    <x v="1"/>
    <x v="1"/>
    <x v="2"/>
    <x v="1"/>
    <x v="1"/>
    <x v="0"/>
    <x v="1"/>
    <x v="0"/>
    <x v="0"/>
  </r>
  <r>
    <n v="166"/>
    <n v="28"/>
    <x v="0"/>
    <x v="2"/>
    <x v="4"/>
    <x v="1"/>
    <x v="1"/>
    <x v="2"/>
    <x v="0"/>
    <x v="0"/>
    <x v="1"/>
    <x v="0"/>
    <x v="1"/>
    <x v="0"/>
  </r>
  <r>
    <n v="167"/>
    <n v="31"/>
    <x v="0"/>
    <x v="3"/>
    <x v="6"/>
    <x v="1"/>
    <x v="1"/>
    <x v="2"/>
    <x v="0"/>
    <x v="0"/>
    <x v="1"/>
    <x v="1"/>
    <x v="1"/>
    <x v="0"/>
  </r>
  <r>
    <n v="168"/>
    <n v="26"/>
    <x v="0"/>
    <x v="3"/>
    <x v="1"/>
    <x v="0"/>
    <x v="0"/>
    <x v="0"/>
    <x v="1"/>
    <x v="1"/>
    <x v="0"/>
    <x v="1"/>
    <x v="0"/>
    <x v="0"/>
  </r>
  <r>
    <n v="169"/>
    <n v="23"/>
    <x v="0"/>
    <x v="3"/>
    <x v="5"/>
    <x v="1"/>
    <x v="1"/>
    <x v="1"/>
    <x v="0"/>
    <x v="0"/>
    <x v="1"/>
    <x v="0"/>
    <x v="1"/>
    <x v="0"/>
  </r>
  <r>
    <n v="170"/>
    <n v="19"/>
    <x v="0"/>
    <x v="3"/>
    <x v="18"/>
    <x v="1"/>
    <x v="2"/>
    <x v="2"/>
    <x v="1"/>
    <x v="1"/>
    <x v="0"/>
    <x v="1"/>
    <x v="0"/>
    <x v="0"/>
  </r>
  <r>
    <n v="171"/>
    <n v="20"/>
    <x v="0"/>
    <x v="2"/>
    <x v="0"/>
    <x v="1"/>
    <x v="1"/>
    <x v="2"/>
    <x v="1"/>
    <x v="1"/>
    <x v="0"/>
    <x v="1"/>
    <x v="0"/>
    <x v="0"/>
  </r>
  <r>
    <n v="172"/>
    <n v="29"/>
    <x v="0"/>
    <x v="0"/>
    <x v="3"/>
    <x v="0"/>
    <x v="0"/>
    <x v="0"/>
    <x v="1"/>
    <x v="0"/>
    <x v="0"/>
    <x v="1"/>
    <x v="0"/>
    <x v="0"/>
  </r>
  <r>
    <n v="173"/>
    <n v="38"/>
    <x v="0"/>
    <x v="1"/>
    <x v="13"/>
    <x v="1"/>
    <x v="1"/>
    <x v="1"/>
    <x v="0"/>
    <x v="0"/>
    <x v="1"/>
    <x v="0"/>
    <x v="1"/>
    <x v="0"/>
  </r>
  <r>
    <n v="174"/>
    <n v="28"/>
    <x v="0"/>
    <x v="1"/>
    <x v="21"/>
    <x v="1"/>
    <x v="1"/>
    <x v="1"/>
    <x v="0"/>
    <x v="1"/>
    <x v="1"/>
    <x v="0"/>
    <x v="1"/>
    <x v="0"/>
  </r>
  <r>
    <n v="175"/>
    <n v="33"/>
    <x v="1"/>
    <x v="1"/>
    <x v="13"/>
    <x v="1"/>
    <x v="1"/>
    <x v="2"/>
    <x v="1"/>
    <x v="0"/>
    <x v="0"/>
    <x v="1"/>
    <x v="0"/>
    <x v="0"/>
  </r>
  <r>
    <n v="176"/>
    <n v="20"/>
    <x v="0"/>
    <x v="3"/>
    <x v="3"/>
    <x v="1"/>
    <x v="1"/>
    <x v="2"/>
    <x v="0"/>
    <x v="1"/>
    <x v="0"/>
    <x v="1"/>
    <x v="0"/>
    <x v="0"/>
  </r>
  <r>
    <n v="177"/>
    <n v="28"/>
    <x v="0"/>
    <x v="3"/>
    <x v="6"/>
    <x v="1"/>
    <x v="1"/>
    <x v="2"/>
    <x v="0"/>
    <x v="1"/>
    <x v="0"/>
    <x v="1"/>
    <x v="1"/>
    <x v="0"/>
  </r>
  <r>
    <n v="178"/>
    <n v="36"/>
    <x v="0"/>
    <x v="0"/>
    <x v="6"/>
    <x v="0"/>
    <x v="0"/>
    <x v="0"/>
    <x v="0"/>
    <x v="1"/>
    <x v="0"/>
    <x v="1"/>
    <x v="0"/>
    <x v="0"/>
  </r>
  <r>
    <n v="179"/>
    <n v="40"/>
    <x v="2"/>
    <x v="3"/>
    <x v="3"/>
    <x v="1"/>
    <x v="2"/>
    <x v="1"/>
    <x v="0"/>
    <x v="0"/>
    <x v="0"/>
    <x v="1"/>
    <x v="0"/>
    <x v="0"/>
  </r>
  <r>
    <n v="180"/>
    <n v="30"/>
    <x v="0"/>
    <x v="0"/>
    <x v="3"/>
    <x v="1"/>
    <x v="2"/>
    <x v="2"/>
    <x v="1"/>
    <x v="1"/>
    <x v="0"/>
    <x v="1"/>
    <x v="0"/>
    <x v="0"/>
  </r>
  <r>
    <n v="181"/>
    <n v="37"/>
    <x v="0"/>
    <x v="1"/>
    <x v="3"/>
    <x v="1"/>
    <x v="1"/>
    <x v="2"/>
    <x v="0"/>
    <x v="0"/>
    <x v="0"/>
    <x v="0"/>
    <x v="1"/>
    <x v="0"/>
  </r>
  <r>
    <n v="182"/>
    <n v="27"/>
    <x v="0"/>
    <x v="3"/>
    <x v="9"/>
    <x v="1"/>
    <x v="1"/>
    <x v="1"/>
    <x v="0"/>
    <x v="0"/>
    <x v="1"/>
    <x v="0"/>
    <x v="1"/>
    <x v="0"/>
  </r>
  <r>
    <n v="183"/>
    <n v="19"/>
    <x v="0"/>
    <x v="3"/>
    <x v="4"/>
    <x v="1"/>
    <x v="1"/>
    <x v="2"/>
    <x v="1"/>
    <x v="1"/>
    <x v="0"/>
    <x v="1"/>
    <x v="0"/>
    <x v="0"/>
  </r>
  <r>
    <n v="184"/>
    <n v="32"/>
    <x v="0"/>
    <x v="2"/>
    <x v="3"/>
    <x v="1"/>
    <x v="2"/>
    <x v="1"/>
    <x v="0"/>
    <x v="1"/>
    <x v="0"/>
    <x v="1"/>
    <x v="0"/>
    <x v="0"/>
  </r>
  <r>
    <n v="185"/>
    <n v="38"/>
    <x v="0"/>
    <x v="2"/>
    <x v="3"/>
    <x v="1"/>
    <x v="1"/>
    <x v="2"/>
    <x v="0"/>
    <x v="1"/>
    <x v="1"/>
    <x v="0"/>
    <x v="0"/>
    <x v="0"/>
  </r>
  <r>
    <n v="186"/>
    <n v="25"/>
    <x v="0"/>
    <x v="2"/>
    <x v="8"/>
    <x v="1"/>
    <x v="1"/>
    <x v="1"/>
    <x v="1"/>
    <x v="1"/>
    <x v="0"/>
    <x v="1"/>
    <x v="0"/>
    <x v="0"/>
  </r>
  <r>
    <n v="187"/>
    <n v="24"/>
    <x v="0"/>
    <x v="0"/>
    <x v="6"/>
    <x v="0"/>
    <x v="0"/>
    <x v="0"/>
    <x v="1"/>
    <x v="1"/>
    <x v="0"/>
    <x v="1"/>
    <x v="0"/>
    <x v="0"/>
  </r>
  <r>
    <n v="188"/>
    <n v="30"/>
    <x v="0"/>
    <x v="1"/>
    <x v="13"/>
    <x v="0"/>
    <x v="0"/>
    <x v="0"/>
    <x v="0"/>
    <x v="1"/>
    <x v="0"/>
    <x v="1"/>
    <x v="1"/>
    <x v="0"/>
  </r>
  <r>
    <n v="189"/>
    <n v="29"/>
    <x v="0"/>
    <x v="3"/>
    <x v="5"/>
    <x v="1"/>
    <x v="1"/>
    <x v="1"/>
    <x v="0"/>
    <x v="0"/>
    <x v="1"/>
    <x v="0"/>
    <x v="1"/>
    <x v="0"/>
  </r>
  <r>
    <n v="190"/>
    <n v="32"/>
    <x v="0"/>
    <x v="1"/>
    <x v="2"/>
    <x v="1"/>
    <x v="1"/>
    <x v="1"/>
    <x v="0"/>
    <x v="0"/>
    <x v="0"/>
    <x v="1"/>
    <x v="1"/>
    <x v="0"/>
  </r>
  <r>
    <n v="191"/>
    <n v="31"/>
    <x v="0"/>
    <x v="3"/>
    <x v="8"/>
    <x v="1"/>
    <x v="1"/>
    <x v="1"/>
    <x v="0"/>
    <x v="0"/>
    <x v="0"/>
    <x v="0"/>
    <x v="1"/>
    <x v="0"/>
  </r>
  <r>
    <n v="192"/>
    <n v="31"/>
    <x v="0"/>
    <x v="1"/>
    <x v="13"/>
    <x v="1"/>
    <x v="2"/>
    <x v="2"/>
    <x v="1"/>
    <x v="1"/>
    <x v="0"/>
    <x v="1"/>
    <x v="0"/>
    <x v="0"/>
  </r>
  <r>
    <n v="193"/>
    <n v="35"/>
    <x v="1"/>
    <x v="2"/>
    <x v="3"/>
    <x v="0"/>
    <x v="0"/>
    <x v="0"/>
    <x v="0"/>
    <x v="1"/>
    <x v="0"/>
    <x v="1"/>
    <x v="0"/>
    <x v="0"/>
  </r>
  <r>
    <n v="194"/>
    <n v="20"/>
    <x v="0"/>
    <x v="3"/>
    <x v="3"/>
    <x v="1"/>
    <x v="1"/>
    <x v="2"/>
    <x v="1"/>
    <x v="1"/>
    <x v="0"/>
    <x v="1"/>
    <x v="0"/>
    <x v="0"/>
  </r>
  <r>
    <n v="195"/>
    <n v="18"/>
    <x v="0"/>
    <x v="2"/>
    <x v="6"/>
    <x v="1"/>
    <x v="1"/>
    <x v="2"/>
    <x v="0"/>
    <x v="1"/>
    <x v="0"/>
    <x v="1"/>
    <x v="0"/>
    <x v="0"/>
  </r>
  <r>
    <n v="196"/>
    <n v="28"/>
    <x v="0"/>
    <x v="3"/>
    <x v="7"/>
    <x v="1"/>
    <x v="1"/>
    <x v="2"/>
    <x v="0"/>
    <x v="0"/>
    <x v="0"/>
    <x v="0"/>
    <x v="1"/>
    <x v="0"/>
  </r>
  <r>
    <n v="197"/>
    <n v="28"/>
    <x v="0"/>
    <x v="0"/>
    <x v="18"/>
    <x v="0"/>
    <x v="0"/>
    <x v="0"/>
    <x v="1"/>
    <x v="1"/>
    <x v="0"/>
    <x v="1"/>
    <x v="0"/>
    <x v="0"/>
  </r>
  <r>
    <n v="198"/>
    <n v="27"/>
    <x v="0"/>
    <x v="3"/>
    <x v="8"/>
    <x v="1"/>
    <x v="1"/>
    <x v="2"/>
    <x v="0"/>
    <x v="1"/>
    <x v="0"/>
    <x v="1"/>
    <x v="0"/>
    <x v="0"/>
  </r>
  <r>
    <n v="199"/>
    <n v="26"/>
    <x v="0"/>
    <x v="2"/>
    <x v="17"/>
    <x v="1"/>
    <x v="1"/>
    <x v="2"/>
    <x v="0"/>
    <x v="0"/>
    <x v="1"/>
    <x v="0"/>
    <x v="1"/>
    <x v="0"/>
  </r>
  <r>
    <n v="200"/>
    <n v="34"/>
    <x v="0"/>
    <x v="1"/>
    <x v="13"/>
    <x v="1"/>
    <x v="1"/>
    <x v="2"/>
    <x v="1"/>
    <x v="1"/>
    <x v="0"/>
    <x v="1"/>
    <x v="0"/>
    <x v="0"/>
  </r>
  <r>
    <n v="201"/>
    <n v="20"/>
    <x v="0"/>
    <x v="2"/>
    <x v="6"/>
    <x v="1"/>
    <x v="2"/>
    <x v="1"/>
    <x v="1"/>
    <x v="1"/>
    <x v="0"/>
    <x v="1"/>
    <x v="0"/>
    <x v="0"/>
  </r>
  <r>
    <n v="202"/>
    <n v="37"/>
    <x v="0"/>
    <x v="3"/>
    <x v="2"/>
    <x v="1"/>
    <x v="1"/>
    <x v="2"/>
    <x v="1"/>
    <x v="0"/>
    <x v="1"/>
    <x v="1"/>
    <x v="1"/>
    <x v="0"/>
  </r>
  <r>
    <n v="203"/>
    <n v="32"/>
    <x v="0"/>
    <x v="1"/>
    <x v="20"/>
    <x v="1"/>
    <x v="1"/>
    <x v="1"/>
    <x v="0"/>
    <x v="1"/>
    <x v="0"/>
    <x v="1"/>
    <x v="1"/>
    <x v="0"/>
  </r>
  <r>
    <n v="204"/>
    <n v="20"/>
    <x v="0"/>
    <x v="3"/>
    <x v="3"/>
    <x v="1"/>
    <x v="1"/>
    <x v="2"/>
    <x v="1"/>
    <x v="1"/>
    <x v="0"/>
    <x v="1"/>
    <x v="0"/>
    <x v="0"/>
  </r>
  <r>
    <n v="205"/>
    <n v="29"/>
    <x v="0"/>
    <x v="3"/>
    <x v="6"/>
    <x v="1"/>
    <x v="1"/>
    <x v="2"/>
    <x v="0"/>
    <x v="1"/>
    <x v="0"/>
    <x v="1"/>
    <x v="0"/>
    <x v="0"/>
  </r>
  <r>
    <n v="206"/>
    <n v="20"/>
    <x v="0"/>
    <x v="2"/>
    <x v="0"/>
    <x v="1"/>
    <x v="1"/>
    <x v="2"/>
    <x v="0"/>
    <x v="1"/>
    <x v="0"/>
    <x v="1"/>
    <x v="0"/>
    <x v="0"/>
  </r>
  <r>
    <n v="207"/>
    <n v="20"/>
    <x v="0"/>
    <x v="2"/>
    <x v="3"/>
    <x v="0"/>
    <x v="0"/>
    <x v="0"/>
    <x v="1"/>
    <x v="1"/>
    <x v="0"/>
    <x v="1"/>
    <x v="0"/>
    <x v="0"/>
  </r>
  <r>
    <n v="208"/>
    <n v="19"/>
    <x v="0"/>
    <x v="3"/>
    <x v="18"/>
    <x v="0"/>
    <x v="0"/>
    <x v="0"/>
    <x v="0"/>
    <x v="1"/>
    <x v="0"/>
    <x v="1"/>
    <x v="0"/>
    <x v="0"/>
  </r>
  <r>
    <n v="209"/>
    <n v="31"/>
    <x v="0"/>
    <x v="1"/>
    <x v="5"/>
    <x v="1"/>
    <x v="1"/>
    <x v="2"/>
    <x v="0"/>
    <x v="0"/>
    <x v="1"/>
    <x v="0"/>
    <x v="1"/>
    <x v="0"/>
  </r>
  <r>
    <n v="210"/>
    <n v="31"/>
    <x v="0"/>
    <x v="3"/>
    <x v="6"/>
    <x v="1"/>
    <x v="1"/>
    <x v="2"/>
    <x v="0"/>
    <x v="1"/>
    <x v="1"/>
    <x v="1"/>
    <x v="1"/>
    <x v="0"/>
  </r>
  <r>
    <n v="211"/>
    <n v="30"/>
    <x v="0"/>
    <x v="1"/>
    <x v="19"/>
    <x v="1"/>
    <x v="1"/>
    <x v="2"/>
    <x v="1"/>
    <x v="1"/>
    <x v="0"/>
    <x v="1"/>
    <x v="0"/>
    <x v="0"/>
  </r>
  <r>
    <n v="212"/>
    <n v="23"/>
    <x v="0"/>
    <x v="2"/>
    <x v="5"/>
    <x v="1"/>
    <x v="1"/>
    <x v="1"/>
    <x v="0"/>
    <x v="0"/>
    <x v="1"/>
    <x v="0"/>
    <x v="1"/>
    <x v="0"/>
  </r>
  <r>
    <n v="213"/>
    <n v="29"/>
    <x v="0"/>
    <x v="0"/>
    <x v="3"/>
    <x v="0"/>
    <x v="0"/>
    <x v="0"/>
    <x v="1"/>
    <x v="1"/>
    <x v="0"/>
    <x v="1"/>
    <x v="0"/>
    <x v="0"/>
  </r>
  <r>
    <n v="214"/>
    <n v="33"/>
    <x v="1"/>
    <x v="1"/>
    <x v="13"/>
    <x v="1"/>
    <x v="1"/>
    <x v="2"/>
    <x v="0"/>
    <x v="0"/>
    <x v="0"/>
    <x v="1"/>
    <x v="0"/>
    <x v="0"/>
  </r>
  <r>
    <n v="215"/>
    <n v="28"/>
    <x v="0"/>
    <x v="2"/>
    <x v="6"/>
    <x v="1"/>
    <x v="1"/>
    <x v="2"/>
    <x v="1"/>
    <x v="1"/>
    <x v="0"/>
    <x v="1"/>
    <x v="0"/>
    <x v="0"/>
  </r>
  <r>
    <n v="216"/>
    <n v="28"/>
    <x v="0"/>
    <x v="1"/>
    <x v="21"/>
    <x v="1"/>
    <x v="1"/>
    <x v="1"/>
    <x v="0"/>
    <x v="0"/>
    <x v="1"/>
    <x v="0"/>
    <x v="1"/>
    <x v="0"/>
  </r>
  <r>
    <n v="217"/>
    <n v="22"/>
    <x v="0"/>
    <x v="2"/>
    <x v="18"/>
    <x v="1"/>
    <x v="2"/>
    <x v="2"/>
    <x v="0"/>
    <x v="1"/>
    <x v="0"/>
    <x v="1"/>
    <x v="0"/>
    <x v="0"/>
  </r>
  <r>
    <n v="218"/>
    <n v="28"/>
    <x v="0"/>
    <x v="1"/>
    <x v="4"/>
    <x v="1"/>
    <x v="1"/>
    <x v="2"/>
    <x v="0"/>
    <x v="0"/>
    <x v="1"/>
    <x v="0"/>
    <x v="1"/>
    <x v="0"/>
  </r>
  <r>
    <n v="219"/>
    <n v="27"/>
    <x v="0"/>
    <x v="2"/>
    <x v="2"/>
    <x v="1"/>
    <x v="1"/>
    <x v="2"/>
    <x v="0"/>
    <x v="0"/>
    <x v="0"/>
    <x v="1"/>
    <x v="1"/>
    <x v="0"/>
  </r>
  <r>
    <n v="220"/>
    <n v="38"/>
    <x v="0"/>
    <x v="1"/>
    <x v="13"/>
    <x v="1"/>
    <x v="1"/>
    <x v="1"/>
    <x v="0"/>
    <x v="0"/>
    <x v="1"/>
    <x v="0"/>
    <x v="1"/>
    <x v="0"/>
  </r>
  <r>
    <n v="221"/>
    <n v="26"/>
    <x v="0"/>
    <x v="3"/>
    <x v="4"/>
    <x v="1"/>
    <x v="2"/>
    <x v="1"/>
    <x v="1"/>
    <x v="1"/>
    <x v="0"/>
    <x v="1"/>
    <x v="0"/>
    <x v="0"/>
  </r>
  <r>
    <n v="222"/>
    <n v="30"/>
    <x v="0"/>
    <x v="2"/>
    <x v="2"/>
    <x v="1"/>
    <x v="1"/>
    <x v="2"/>
    <x v="0"/>
    <x v="1"/>
    <x v="0"/>
    <x v="1"/>
    <x v="0"/>
    <x v="0"/>
  </r>
  <r>
    <n v="223"/>
    <n v="26"/>
    <x v="0"/>
    <x v="1"/>
    <x v="1"/>
    <x v="1"/>
    <x v="1"/>
    <x v="2"/>
    <x v="1"/>
    <x v="1"/>
    <x v="0"/>
    <x v="1"/>
    <x v="0"/>
    <x v="0"/>
  </r>
  <r>
    <n v="224"/>
    <n v="22"/>
    <x v="0"/>
    <x v="1"/>
    <x v="13"/>
    <x v="1"/>
    <x v="1"/>
    <x v="2"/>
    <x v="1"/>
    <x v="1"/>
    <x v="0"/>
    <x v="1"/>
    <x v="0"/>
    <x v="0"/>
  </r>
  <r>
    <n v="225"/>
    <n v="32"/>
    <x v="0"/>
    <x v="0"/>
    <x v="6"/>
    <x v="1"/>
    <x v="2"/>
    <x v="2"/>
    <x v="0"/>
    <x v="1"/>
    <x v="0"/>
    <x v="1"/>
    <x v="0"/>
    <x v="0"/>
  </r>
  <r>
    <n v="226"/>
    <n v="34"/>
    <x v="0"/>
    <x v="1"/>
    <x v="13"/>
    <x v="1"/>
    <x v="1"/>
    <x v="2"/>
    <x v="1"/>
    <x v="1"/>
    <x v="0"/>
    <x v="1"/>
    <x v="0"/>
    <x v="0"/>
  </r>
  <r>
    <n v="227"/>
    <n v="33"/>
    <x v="1"/>
    <x v="1"/>
    <x v="13"/>
    <x v="1"/>
    <x v="1"/>
    <x v="2"/>
    <x v="0"/>
    <x v="1"/>
    <x v="0"/>
    <x v="1"/>
    <x v="0"/>
    <x v="0"/>
  </r>
  <r>
    <n v="228"/>
    <n v="28"/>
    <x v="0"/>
    <x v="1"/>
    <x v="21"/>
    <x v="1"/>
    <x v="1"/>
    <x v="1"/>
    <x v="0"/>
    <x v="1"/>
    <x v="1"/>
    <x v="0"/>
    <x v="1"/>
    <x v="0"/>
  </r>
  <r>
    <n v="229"/>
    <n v="30"/>
    <x v="0"/>
    <x v="0"/>
    <x v="3"/>
    <x v="1"/>
    <x v="2"/>
    <x v="1"/>
    <x v="0"/>
    <x v="1"/>
    <x v="0"/>
    <x v="1"/>
    <x v="0"/>
    <x v="0"/>
  </r>
  <r>
    <n v="230"/>
    <n v="27"/>
    <x v="0"/>
    <x v="2"/>
    <x v="2"/>
    <x v="1"/>
    <x v="1"/>
    <x v="2"/>
    <x v="0"/>
    <x v="0"/>
    <x v="0"/>
    <x v="1"/>
    <x v="1"/>
    <x v="0"/>
  </r>
  <r>
    <n v="231"/>
    <n v="20"/>
    <x v="0"/>
    <x v="3"/>
    <x v="3"/>
    <x v="1"/>
    <x v="1"/>
    <x v="2"/>
    <x v="1"/>
    <x v="1"/>
    <x v="0"/>
    <x v="1"/>
    <x v="0"/>
    <x v="0"/>
  </r>
  <r>
    <n v="232"/>
    <n v="27"/>
    <x v="0"/>
    <x v="3"/>
    <x v="8"/>
    <x v="0"/>
    <x v="0"/>
    <x v="0"/>
    <x v="0"/>
    <x v="1"/>
    <x v="0"/>
    <x v="1"/>
    <x v="0"/>
    <x v="0"/>
  </r>
  <r>
    <n v="233"/>
    <n v="23"/>
    <x v="0"/>
    <x v="3"/>
    <x v="5"/>
    <x v="1"/>
    <x v="1"/>
    <x v="1"/>
    <x v="0"/>
    <x v="0"/>
    <x v="1"/>
    <x v="0"/>
    <x v="1"/>
    <x v="0"/>
  </r>
  <r>
    <n v="234"/>
    <n v="37"/>
    <x v="0"/>
    <x v="1"/>
    <x v="3"/>
    <x v="1"/>
    <x v="1"/>
    <x v="2"/>
    <x v="0"/>
    <x v="1"/>
    <x v="0"/>
    <x v="0"/>
    <x v="1"/>
    <x v="0"/>
  </r>
  <r>
    <n v="235"/>
    <n v="32"/>
    <x v="0"/>
    <x v="2"/>
    <x v="3"/>
    <x v="1"/>
    <x v="2"/>
    <x v="2"/>
    <x v="1"/>
    <x v="1"/>
    <x v="0"/>
    <x v="1"/>
    <x v="0"/>
    <x v="0"/>
  </r>
  <r>
    <n v="236"/>
    <n v="31"/>
    <x v="0"/>
    <x v="3"/>
    <x v="6"/>
    <x v="1"/>
    <x v="1"/>
    <x v="2"/>
    <x v="0"/>
    <x v="1"/>
    <x v="1"/>
    <x v="1"/>
    <x v="1"/>
    <x v="0"/>
  </r>
  <r>
    <n v="237"/>
    <n v="31"/>
    <x v="0"/>
    <x v="3"/>
    <x v="13"/>
    <x v="1"/>
    <x v="2"/>
    <x v="2"/>
    <x v="1"/>
    <x v="1"/>
    <x v="0"/>
    <x v="1"/>
    <x v="0"/>
    <x v="0"/>
  </r>
  <r>
    <n v="238"/>
    <n v="28"/>
    <x v="0"/>
    <x v="3"/>
    <x v="6"/>
    <x v="1"/>
    <x v="1"/>
    <x v="2"/>
    <x v="1"/>
    <x v="1"/>
    <x v="0"/>
    <x v="1"/>
    <x v="1"/>
    <x v="0"/>
  </r>
  <r>
    <n v="239"/>
    <n v="28"/>
    <x v="0"/>
    <x v="2"/>
    <x v="7"/>
    <x v="1"/>
    <x v="1"/>
    <x v="2"/>
    <x v="0"/>
    <x v="0"/>
    <x v="0"/>
    <x v="0"/>
    <x v="1"/>
    <x v="0"/>
  </r>
  <r>
    <n v="240"/>
    <n v="26"/>
    <x v="0"/>
    <x v="1"/>
    <x v="4"/>
    <x v="1"/>
    <x v="2"/>
    <x v="2"/>
    <x v="1"/>
    <x v="1"/>
    <x v="0"/>
    <x v="0"/>
    <x v="0"/>
    <x v="0"/>
  </r>
  <r>
    <n v="241"/>
    <n v="40"/>
    <x v="2"/>
    <x v="3"/>
    <x v="3"/>
    <x v="1"/>
    <x v="2"/>
    <x v="2"/>
    <x v="1"/>
    <x v="0"/>
    <x v="0"/>
    <x v="1"/>
    <x v="0"/>
    <x v="0"/>
  </r>
  <r>
    <n v="242"/>
    <n v="30"/>
    <x v="0"/>
    <x v="2"/>
    <x v="2"/>
    <x v="1"/>
    <x v="1"/>
    <x v="2"/>
    <x v="0"/>
    <x v="1"/>
    <x v="0"/>
    <x v="1"/>
    <x v="0"/>
    <x v="0"/>
  </r>
  <r>
    <n v="243"/>
    <n v="28"/>
    <x v="0"/>
    <x v="3"/>
    <x v="6"/>
    <x v="1"/>
    <x v="1"/>
    <x v="2"/>
    <x v="1"/>
    <x v="1"/>
    <x v="0"/>
    <x v="1"/>
    <x v="1"/>
    <x v="0"/>
  </r>
  <r>
    <n v="244"/>
    <n v="28"/>
    <x v="0"/>
    <x v="2"/>
    <x v="6"/>
    <x v="1"/>
    <x v="1"/>
    <x v="2"/>
    <x v="0"/>
    <x v="1"/>
    <x v="0"/>
    <x v="1"/>
    <x v="0"/>
    <x v="0"/>
  </r>
  <r>
    <n v="245"/>
    <n v="19"/>
    <x v="0"/>
    <x v="3"/>
    <x v="18"/>
    <x v="0"/>
    <x v="0"/>
    <x v="0"/>
    <x v="1"/>
    <x v="1"/>
    <x v="0"/>
    <x v="1"/>
    <x v="0"/>
    <x v="0"/>
  </r>
  <r>
    <n v="246"/>
    <n v="28"/>
    <x v="0"/>
    <x v="0"/>
    <x v="18"/>
    <x v="0"/>
    <x v="0"/>
    <x v="0"/>
    <x v="1"/>
    <x v="1"/>
    <x v="0"/>
    <x v="1"/>
    <x v="0"/>
    <x v="0"/>
  </r>
  <r>
    <n v="247"/>
    <n v="19"/>
    <x v="0"/>
    <x v="3"/>
    <x v="4"/>
    <x v="1"/>
    <x v="1"/>
    <x v="2"/>
    <x v="1"/>
    <x v="1"/>
    <x v="0"/>
    <x v="1"/>
    <x v="0"/>
    <x v="0"/>
  </r>
  <r>
    <n v="248"/>
    <n v="22"/>
    <x v="0"/>
    <x v="3"/>
    <x v="13"/>
    <x v="1"/>
    <x v="1"/>
    <x v="2"/>
    <x v="0"/>
    <x v="1"/>
    <x v="0"/>
    <x v="1"/>
    <x v="0"/>
    <x v="0"/>
  </r>
  <r>
    <n v="249"/>
    <n v="26"/>
    <x v="0"/>
    <x v="1"/>
    <x v="1"/>
    <x v="1"/>
    <x v="1"/>
    <x v="2"/>
    <x v="1"/>
    <x v="1"/>
    <x v="0"/>
    <x v="1"/>
    <x v="0"/>
    <x v="0"/>
  </r>
  <r>
    <n v="250"/>
    <n v="31"/>
    <x v="0"/>
    <x v="1"/>
    <x v="8"/>
    <x v="1"/>
    <x v="1"/>
    <x v="1"/>
    <x v="0"/>
    <x v="0"/>
    <x v="0"/>
    <x v="0"/>
    <x v="1"/>
    <x v="0"/>
  </r>
  <r>
    <n v="251"/>
    <n v="18"/>
    <x v="0"/>
    <x v="2"/>
    <x v="6"/>
    <x v="1"/>
    <x v="1"/>
    <x v="2"/>
    <x v="1"/>
    <x v="1"/>
    <x v="0"/>
    <x v="1"/>
    <x v="0"/>
    <x v="0"/>
  </r>
  <r>
    <n v="252"/>
    <n v="38"/>
    <x v="0"/>
    <x v="1"/>
    <x v="13"/>
    <x v="1"/>
    <x v="1"/>
    <x v="1"/>
    <x v="0"/>
    <x v="0"/>
    <x v="1"/>
    <x v="1"/>
    <x v="1"/>
    <x v="0"/>
  </r>
  <r>
    <n v="253"/>
    <n v="37"/>
    <x v="0"/>
    <x v="1"/>
    <x v="2"/>
    <x v="1"/>
    <x v="1"/>
    <x v="2"/>
    <x v="1"/>
    <x v="0"/>
    <x v="1"/>
    <x v="1"/>
    <x v="1"/>
    <x v="0"/>
  </r>
  <r>
    <n v="254"/>
    <n v="28"/>
    <x v="0"/>
    <x v="2"/>
    <x v="4"/>
    <x v="0"/>
    <x v="0"/>
    <x v="0"/>
    <x v="0"/>
    <x v="0"/>
    <x v="1"/>
    <x v="0"/>
    <x v="1"/>
    <x v="0"/>
  </r>
  <r>
    <n v="255"/>
    <n v="30"/>
    <x v="0"/>
    <x v="0"/>
    <x v="19"/>
    <x v="1"/>
    <x v="1"/>
    <x v="2"/>
    <x v="0"/>
    <x v="1"/>
    <x v="0"/>
    <x v="1"/>
    <x v="0"/>
    <x v="0"/>
  </r>
  <r>
    <n v="256"/>
    <n v="31"/>
    <x v="0"/>
    <x v="2"/>
    <x v="5"/>
    <x v="1"/>
    <x v="1"/>
    <x v="2"/>
    <x v="0"/>
    <x v="0"/>
    <x v="1"/>
    <x v="0"/>
    <x v="1"/>
    <x v="0"/>
  </r>
  <r>
    <n v="257"/>
    <n v="32"/>
    <x v="0"/>
    <x v="1"/>
    <x v="20"/>
    <x v="1"/>
    <x v="1"/>
    <x v="1"/>
    <x v="0"/>
    <x v="0"/>
    <x v="0"/>
    <x v="1"/>
    <x v="1"/>
    <x v="0"/>
  </r>
  <r>
    <n v="258"/>
    <n v="27"/>
    <x v="0"/>
    <x v="3"/>
    <x v="9"/>
    <x v="1"/>
    <x v="1"/>
    <x v="1"/>
    <x v="0"/>
    <x v="0"/>
    <x v="1"/>
    <x v="0"/>
    <x v="1"/>
    <x v="0"/>
  </r>
  <r>
    <n v="259"/>
    <n v="26"/>
    <x v="0"/>
    <x v="2"/>
    <x v="17"/>
    <x v="1"/>
    <x v="1"/>
    <x v="2"/>
    <x v="0"/>
    <x v="0"/>
    <x v="1"/>
    <x v="0"/>
    <x v="1"/>
    <x v="0"/>
  </r>
  <r>
    <n v="260"/>
    <n v="20"/>
    <x v="0"/>
    <x v="3"/>
    <x v="3"/>
    <x v="1"/>
    <x v="1"/>
    <x v="2"/>
    <x v="0"/>
    <x v="1"/>
    <x v="0"/>
    <x v="1"/>
    <x v="0"/>
    <x v="0"/>
  </r>
  <r>
    <n v="261"/>
    <n v="29"/>
    <x v="0"/>
    <x v="3"/>
    <x v="17"/>
    <x v="1"/>
    <x v="1"/>
    <x v="1"/>
    <x v="0"/>
    <x v="0"/>
    <x v="1"/>
    <x v="0"/>
    <x v="1"/>
    <x v="0"/>
  </r>
  <r>
    <n v="262"/>
    <n v="29"/>
    <x v="0"/>
    <x v="0"/>
    <x v="3"/>
    <x v="0"/>
    <x v="0"/>
    <x v="0"/>
    <x v="1"/>
    <x v="0"/>
    <x v="0"/>
    <x v="1"/>
    <x v="0"/>
    <x v="0"/>
  </r>
  <r>
    <n v="263"/>
    <n v="35"/>
    <x v="1"/>
    <x v="2"/>
    <x v="3"/>
    <x v="0"/>
    <x v="0"/>
    <x v="0"/>
    <x v="0"/>
    <x v="1"/>
    <x v="0"/>
    <x v="0"/>
    <x v="0"/>
    <x v="0"/>
  </r>
  <r>
    <n v="264"/>
    <n v="20"/>
    <x v="0"/>
    <x v="2"/>
    <x v="0"/>
    <x v="1"/>
    <x v="1"/>
    <x v="2"/>
    <x v="1"/>
    <x v="1"/>
    <x v="0"/>
    <x v="1"/>
    <x v="0"/>
    <x v="0"/>
  </r>
  <r>
    <n v="265"/>
    <n v="25"/>
    <x v="0"/>
    <x v="1"/>
    <x v="8"/>
    <x v="1"/>
    <x v="1"/>
    <x v="1"/>
    <x v="0"/>
    <x v="1"/>
    <x v="0"/>
    <x v="1"/>
    <x v="0"/>
    <x v="0"/>
  </r>
  <r>
    <n v="266"/>
    <n v="30"/>
    <x v="0"/>
    <x v="1"/>
    <x v="13"/>
    <x v="1"/>
    <x v="2"/>
    <x v="1"/>
    <x v="1"/>
    <x v="1"/>
    <x v="0"/>
    <x v="1"/>
    <x v="1"/>
    <x v="0"/>
  </r>
  <r>
    <n v="267"/>
    <n v="24"/>
    <x v="0"/>
    <x v="0"/>
    <x v="6"/>
    <x v="1"/>
    <x v="2"/>
    <x v="2"/>
    <x v="1"/>
    <x v="1"/>
    <x v="0"/>
    <x v="1"/>
    <x v="0"/>
    <x v="0"/>
  </r>
  <r>
    <n v="268"/>
    <n v="32"/>
    <x v="0"/>
    <x v="1"/>
    <x v="13"/>
    <x v="1"/>
    <x v="1"/>
    <x v="1"/>
    <x v="0"/>
    <x v="0"/>
    <x v="0"/>
    <x v="0"/>
    <x v="1"/>
    <x v="0"/>
  </r>
  <r>
    <n v="269"/>
    <n v="20"/>
    <x v="0"/>
    <x v="3"/>
    <x v="3"/>
    <x v="1"/>
    <x v="1"/>
    <x v="2"/>
    <x v="0"/>
    <x v="1"/>
    <x v="0"/>
    <x v="1"/>
    <x v="0"/>
    <x v="0"/>
  </r>
  <r>
    <n v="270"/>
    <n v="38"/>
    <x v="0"/>
    <x v="2"/>
    <x v="3"/>
    <x v="1"/>
    <x v="1"/>
    <x v="2"/>
    <x v="1"/>
    <x v="0"/>
    <x v="1"/>
    <x v="0"/>
    <x v="0"/>
    <x v="0"/>
  </r>
  <r>
    <n v="271"/>
    <n v="29"/>
    <x v="0"/>
    <x v="3"/>
    <x v="6"/>
    <x v="1"/>
    <x v="1"/>
    <x v="2"/>
    <x v="0"/>
    <x v="1"/>
    <x v="0"/>
    <x v="1"/>
    <x v="0"/>
    <x v="0"/>
  </r>
  <r>
    <n v="272"/>
    <n v="36"/>
    <x v="0"/>
    <x v="0"/>
    <x v="6"/>
    <x v="0"/>
    <x v="0"/>
    <x v="0"/>
    <x v="0"/>
    <x v="1"/>
    <x v="0"/>
    <x v="1"/>
    <x v="0"/>
    <x v="0"/>
  </r>
  <r>
    <n v="273"/>
    <n v="20"/>
    <x v="0"/>
    <x v="2"/>
    <x v="3"/>
    <x v="1"/>
    <x v="1"/>
    <x v="2"/>
    <x v="1"/>
    <x v="1"/>
    <x v="0"/>
    <x v="1"/>
    <x v="0"/>
    <x v="0"/>
  </r>
  <r>
    <n v="274"/>
    <n v="30"/>
    <x v="0"/>
    <x v="0"/>
    <x v="3"/>
    <x v="1"/>
    <x v="2"/>
    <x v="2"/>
    <x v="0"/>
    <x v="1"/>
    <x v="0"/>
    <x v="1"/>
    <x v="0"/>
    <x v="0"/>
  </r>
  <r>
    <n v="275"/>
    <n v="20"/>
    <x v="0"/>
    <x v="2"/>
    <x v="6"/>
    <x v="1"/>
    <x v="2"/>
    <x v="2"/>
    <x v="1"/>
    <x v="1"/>
    <x v="0"/>
    <x v="1"/>
    <x v="0"/>
    <x v="0"/>
  </r>
  <r>
    <n v="276"/>
    <n v="33"/>
    <x v="0"/>
    <x v="3"/>
    <x v="1"/>
    <x v="0"/>
    <x v="0"/>
    <x v="0"/>
    <x v="1"/>
    <x v="0"/>
    <x v="1"/>
    <x v="0"/>
    <x v="0"/>
    <x v="0"/>
  </r>
  <r>
    <n v="277"/>
    <n v="28"/>
    <x v="0"/>
    <x v="1"/>
    <x v="17"/>
    <x v="1"/>
    <x v="1"/>
    <x v="1"/>
    <x v="0"/>
    <x v="0"/>
    <x v="1"/>
    <x v="0"/>
    <x v="1"/>
    <x v="0"/>
  </r>
  <r>
    <n v="278"/>
    <n v="19"/>
    <x v="0"/>
    <x v="2"/>
    <x v="5"/>
    <x v="1"/>
    <x v="1"/>
    <x v="1"/>
    <x v="0"/>
    <x v="0"/>
    <x v="1"/>
    <x v="0"/>
    <x v="1"/>
    <x v="0"/>
  </r>
  <r>
    <n v="279"/>
    <n v="25"/>
    <x v="0"/>
    <x v="2"/>
    <x v="3"/>
    <x v="1"/>
    <x v="1"/>
    <x v="1"/>
    <x v="0"/>
    <x v="1"/>
    <x v="1"/>
    <x v="0"/>
    <x v="0"/>
    <x v="0"/>
  </r>
  <r>
    <n v="280"/>
    <n v="27"/>
    <x v="0"/>
    <x v="3"/>
    <x v="8"/>
    <x v="1"/>
    <x v="1"/>
    <x v="1"/>
    <x v="0"/>
    <x v="0"/>
    <x v="1"/>
    <x v="0"/>
    <x v="1"/>
    <x v="0"/>
  </r>
  <r>
    <n v="281"/>
    <n v="28"/>
    <x v="0"/>
    <x v="2"/>
    <x v="3"/>
    <x v="1"/>
    <x v="1"/>
    <x v="1"/>
    <x v="0"/>
    <x v="0"/>
    <x v="0"/>
    <x v="0"/>
    <x v="0"/>
    <x v="0"/>
  </r>
  <r>
    <n v="282"/>
    <n v="37"/>
    <x v="0"/>
    <x v="0"/>
    <x v="3"/>
    <x v="0"/>
    <x v="0"/>
    <x v="0"/>
    <x v="0"/>
    <x v="1"/>
    <x v="0"/>
    <x v="1"/>
    <x v="1"/>
    <x v="0"/>
  </r>
  <r>
    <n v="283"/>
    <n v="28"/>
    <x v="0"/>
    <x v="1"/>
    <x v="8"/>
    <x v="0"/>
    <x v="0"/>
    <x v="0"/>
    <x v="0"/>
    <x v="1"/>
    <x v="0"/>
    <x v="1"/>
    <x v="0"/>
    <x v="0"/>
  </r>
  <r>
    <n v="284"/>
    <n v="20"/>
    <x v="0"/>
    <x v="2"/>
    <x v="6"/>
    <x v="1"/>
    <x v="1"/>
    <x v="2"/>
    <x v="1"/>
    <x v="1"/>
    <x v="0"/>
    <x v="1"/>
    <x v="0"/>
    <x v="0"/>
  </r>
  <r>
    <n v="285"/>
    <n v="32"/>
    <x v="0"/>
    <x v="1"/>
    <x v="22"/>
    <x v="1"/>
    <x v="1"/>
    <x v="1"/>
    <x v="0"/>
    <x v="1"/>
    <x v="1"/>
    <x v="1"/>
    <x v="0"/>
    <x v="0"/>
  </r>
  <r>
    <n v="286"/>
    <n v="30"/>
    <x v="0"/>
    <x v="3"/>
    <x v="8"/>
    <x v="1"/>
    <x v="1"/>
    <x v="1"/>
    <x v="0"/>
    <x v="0"/>
    <x v="0"/>
    <x v="1"/>
    <x v="0"/>
    <x v="0"/>
  </r>
  <r>
    <n v="287"/>
    <n v="28"/>
    <x v="0"/>
    <x v="1"/>
    <x v="3"/>
    <x v="1"/>
    <x v="1"/>
    <x v="2"/>
    <x v="0"/>
    <x v="1"/>
    <x v="0"/>
    <x v="1"/>
    <x v="1"/>
    <x v="0"/>
  </r>
  <r>
    <n v="288"/>
    <n v="38"/>
    <x v="0"/>
    <x v="3"/>
    <x v="11"/>
    <x v="1"/>
    <x v="1"/>
    <x v="2"/>
    <x v="0"/>
    <x v="1"/>
    <x v="1"/>
    <x v="0"/>
    <x v="0"/>
    <x v="0"/>
  </r>
  <r>
    <n v="289"/>
    <n v="28"/>
    <x v="1"/>
    <x v="2"/>
    <x v="0"/>
    <x v="0"/>
    <x v="0"/>
    <x v="0"/>
    <x v="1"/>
    <x v="1"/>
    <x v="0"/>
    <x v="1"/>
    <x v="0"/>
    <x v="0"/>
  </r>
  <r>
    <n v="290"/>
    <n v="22"/>
    <x v="0"/>
    <x v="2"/>
    <x v="6"/>
    <x v="1"/>
    <x v="1"/>
    <x v="2"/>
    <x v="0"/>
    <x v="1"/>
    <x v="0"/>
    <x v="1"/>
    <x v="0"/>
    <x v="0"/>
  </r>
  <r>
    <n v="291"/>
    <n v="34"/>
    <x v="0"/>
    <x v="2"/>
    <x v="12"/>
    <x v="1"/>
    <x v="1"/>
    <x v="1"/>
    <x v="0"/>
    <x v="0"/>
    <x v="1"/>
    <x v="0"/>
    <x v="1"/>
    <x v="0"/>
  </r>
  <r>
    <n v="292"/>
    <n v="34"/>
    <x v="0"/>
    <x v="1"/>
    <x v="3"/>
    <x v="1"/>
    <x v="1"/>
    <x v="1"/>
    <x v="1"/>
    <x v="1"/>
    <x v="0"/>
    <x v="1"/>
    <x v="1"/>
    <x v="0"/>
  </r>
  <r>
    <n v="293"/>
    <n v="19"/>
    <x v="2"/>
    <x v="2"/>
    <x v="9"/>
    <x v="1"/>
    <x v="1"/>
    <x v="2"/>
    <x v="0"/>
    <x v="1"/>
    <x v="1"/>
    <x v="0"/>
    <x v="0"/>
    <x v="0"/>
  </r>
  <r>
    <n v="294"/>
    <n v="42"/>
    <x v="2"/>
    <x v="2"/>
    <x v="4"/>
    <x v="1"/>
    <x v="2"/>
    <x v="1"/>
    <x v="1"/>
    <x v="0"/>
    <x v="1"/>
    <x v="0"/>
    <x v="1"/>
    <x v="0"/>
  </r>
  <r>
    <n v="295"/>
    <n v="23"/>
    <x v="0"/>
    <x v="2"/>
    <x v="4"/>
    <x v="1"/>
    <x v="2"/>
    <x v="2"/>
    <x v="1"/>
    <x v="1"/>
    <x v="0"/>
    <x v="1"/>
    <x v="0"/>
    <x v="0"/>
  </r>
  <r>
    <n v="296"/>
    <n v="25"/>
    <x v="0"/>
    <x v="2"/>
    <x v="9"/>
    <x v="0"/>
    <x v="0"/>
    <x v="0"/>
    <x v="0"/>
    <x v="0"/>
    <x v="0"/>
    <x v="0"/>
    <x v="1"/>
    <x v="0"/>
  </r>
  <r>
    <n v="297"/>
    <n v="31"/>
    <x v="0"/>
    <x v="3"/>
    <x v="17"/>
    <x v="1"/>
    <x v="1"/>
    <x v="2"/>
    <x v="0"/>
    <x v="0"/>
    <x v="1"/>
    <x v="0"/>
    <x v="1"/>
    <x v="0"/>
  </r>
  <r>
    <n v="298"/>
    <n v="26"/>
    <x v="0"/>
    <x v="2"/>
    <x v="17"/>
    <x v="1"/>
    <x v="1"/>
    <x v="2"/>
    <x v="0"/>
    <x v="0"/>
    <x v="1"/>
    <x v="0"/>
    <x v="1"/>
    <x v="0"/>
  </r>
  <r>
    <n v="299"/>
    <n v="30"/>
    <x v="0"/>
    <x v="2"/>
    <x v="19"/>
    <x v="1"/>
    <x v="1"/>
    <x v="2"/>
    <x v="0"/>
    <x v="1"/>
    <x v="0"/>
    <x v="1"/>
    <x v="0"/>
    <x v="0"/>
  </r>
  <r>
    <n v="300"/>
    <n v="40"/>
    <x v="2"/>
    <x v="3"/>
    <x v="22"/>
    <x v="1"/>
    <x v="2"/>
    <x v="2"/>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8EDA25-38C7-448F-A3E6-98632A85519F}" name="PivotTable30"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T3:V16" firstHeaderRow="1" firstDataRow="1" firstDataCol="2"/>
  <pivotFields count="14">
    <pivotField compact="0" outline="0" showAll="0"/>
    <pivotField compact="0" outline="0" showAll="0" measureFilter="1"/>
    <pivotField compact="0" outline="0" showAll="0">
      <items count="4">
        <item x="1"/>
        <item x="0"/>
        <item x="2"/>
        <item t="default"/>
      </items>
    </pivotField>
    <pivotField axis="axisRow" compact="0" outline="0" showAll="0">
      <items count="5">
        <item x="0"/>
        <item x="2"/>
        <item x="3"/>
        <item x="1"/>
        <item t="default"/>
      </items>
    </pivotField>
    <pivotField compact="0" numFmtId="164" outline="0" showAll="0"/>
    <pivotField compact="0" outline="0" showAll="0">
      <items count="3">
        <item x="0"/>
        <item x="1"/>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axis="axisRow" dataField="1" compact="0" outline="0" showAll="0">
      <items count="3">
        <item x="1"/>
        <item x="0"/>
        <item t="default"/>
      </items>
    </pivotField>
    <pivotField compact="0" outline="0" showAll="0"/>
  </pivotFields>
  <rowFields count="2">
    <field x="3"/>
    <field x="12"/>
  </rowFields>
  <rowItems count="13">
    <i>
      <x/>
      <x/>
    </i>
    <i r="1">
      <x v="1"/>
    </i>
    <i t="default">
      <x/>
    </i>
    <i>
      <x v="1"/>
      <x/>
    </i>
    <i r="1">
      <x v="1"/>
    </i>
    <i t="default">
      <x v="1"/>
    </i>
    <i>
      <x v="2"/>
      <x/>
    </i>
    <i r="1">
      <x v="1"/>
    </i>
    <i t="default">
      <x v="2"/>
    </i>
    <i>
      <x v="3"/>
      <x/>
    </i>
    <i r="1">
      <x v="1"/>
    </i>
    <i t="default">
      <x v="3"/>
    </i>
    <i t="grand">
      <x/>
    </i>
  </rowItems>
  <colItems count="1">
    <i/>
  </colItems>
  <dataFields count="1">
    <dataField name=" Overall BPCR Knowledge" fld="12" subtotal="count" showDataAs="percentOfTotal" baseField="0" baseItem="0" numFmtId="10"/>
  </dataFields>
  <formats count="14">
    <format dxfId="503">
      <pivotArea outline="0" fieldPosition="0">
        <references count="1">
          <reference field="4294967294" count="1">
            <x v="0"/>
          </reference>
        </references>
      </pivotArea>
    </format>
    <format dxfId="502">
      <pivotArea outline="0" fieldPosition="0">
        <references count="2">
          <reference field="3" count="1" selected="0">
            <x v="0"/>
          </reference>
          <reference field="12" count="1" selected="0">
            <x v="1"/>
          </reference>
        </references>
      </pivotArea>
    </format>
    <format dxfId="501">
      <pivotArea outline="0" fieldPosition="0">
        <references count="2">
          <reference field="3" count="1" selected="0">
            <x v="1"/>
          </reference>
          <reference field="12" count="1" selected="0">
            <x v="0"/>
          </reference>
        </references>
      </pivotArea>
    </format>
    <format dxfId="500">
      <pivotArea outline="0" fieldPosition="0">
        <references count="2">
          <reference field="3" count="1" selected="0">
            <x v="1"/>
          </reference>
          <reference field="12" count="1" selected="0">
            <x v="1"/>
          </reference>
        </references>
      </pivotArea>
    </format>
    <format dxfId="499">
      <pivotArea outline="0" fieldPosition="0">
        <references count="1">
          <reference field="3" count="1" selected="0" defaultSubtotal="1">
            <x v="1"/>
          </reference>
        </references>
      </pivotArea>
    </format>
    <format dxfId="498">
      <pivotArea outline="0" fieldPosition="0">
        <references count="2">
          <reference field="3" count="1" selected="0">
            <x v="2"/>
          </reference>
          <reference field="12" count="1" selected="0">
            <x v="0"/>
          </reference>
        </references>
      </pivotArea>
    </format>
    <format dxfId="497">
      <pivotArea outline="0" fieldPosition="0">
        <references count="2">
          <reference field="3" count="1" selected="0">
            <x v="2"/>
          </reference>
          <reference field="12" count="1" selected="0">
            <x v="1"/>
          </reference>
        </references>
      </pivotArea>
    </format>
    <format dxfId="496">
      <pivotArea outline="0" fieldPosition="0">
        <references count="1">
          <reference field="3" count="1" selected="0" defaultSubtotal="1">
            <x v="2"/>
          </reference>
        </references>
      </pivotArea>
    </format>
    <format dxfId="495">
      <pivotArea outline="0" fieldPosition="0">
        <references count="2">
          <reference field="3" count="1" selected="0">
            <x v="3"/>
          </reference>
          <reference field="12" count="1" selected="0">
            <x v="0"/>
          </reference>
        </references>
      </pivotArea>
    </format>
    <format dxfId="494">
      <pivotArea outline="0" fieldPosition="0">
        <references count="2">
          <reference field="3" count="1" selected="0">
            <x v="3"/>
          </reference>
          <reference field="12" count="1" selected="0">
            <x v="1"/>
          </reference>
        </references>
      </pivotArea>
    </format>
    <format dxfId="493">
      <pivotArea outline="0" fieldPosition="0">
        <references count="1">
          <reference field="3" count="1" selected="0" defaultSubtotal="1">
            <x v="3"/>
          </reference>
        </references>
      </pivotArea>
    </format>
    <format dxfId="492">
      <pivotArea grandRow="1" outline="0" collapsedLevelsAreSubtotals="1" fieldPosition="0"/>
    </format>
    <format dxfId="491">
      <pivotArea outline="0" fieldPosition="0">
        <references count="2">
          <reference field="3" count="1" selected="0">
            <x v="0"/>
          </reference>
          <reference field="12" count="1" selected="0">
            <x v="0"/>
          </reference>
        </references>
      </pivotArea>
    </format>
    <format dxfId="490">
      <pivotArea outline="0" fieldPosition="0">
        <references count="1">
          <reference field="3" count="1" selected="0" defaultSubtotal="1">
            <x v="0"/>
          </reference>
        </references>
      </pivotArea>
    </format>
  </format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8597A0-3190-49EE-9760-049CFE6357E1}" name="PivotTable29"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BJ15:BJ16" firstHeaderRow="1" firstDataRow="1" firstDataCol="0"/>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compact="0" outline="0" showAll="0">
      <items count="3">
        <item x="0"/>
        <item x="1"/>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dataField="1" compact="0" outline="0" showAll="0"/>
  </pivotFields>
  <rowItems count="1">
    <i/>
  </rowItems>
  <colItems count="1">
    <i/>
  </colItems>
  <dataFields count="1">
    <dataField name="Count of Overall BPCR Practic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97904A-673A-43BD-B3A7-FA3C126EA6B0}" name="PivotTable28"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BJ12:BJ13" firstHeaderRow="1" firstDataRow="1" firstDataCol="0"/>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compact="0" outline="0" showAll="0">
      <items count="3">
        <item x="0"/>
        <item x="1"/>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dataField="1" compact="0" outline="0" showAll="0"/>
  </pivotFields>
  <rowItems count="1">
    <i/>
  </rowItems>
  <colItems count="1">
    <i/>
  </colItems>
  <dataFields count="1">
    <dataField name="Count of Overall BPCR Practic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AD58B6-8BFA-43B3-BB3C-F109C7132AC6}" name="PivotTable27"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BJ9:BJ10" firstHeaderRow="1" firstDataRow="1" firstDataCol="0"/>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compact="0" outline="0" showAll="0">
      <items count="3">
        <item x="0"/>
        <item x="1"/>
        <item t="default"/>
      </items>
    </pivotField>
    <pivotField compact="0" outline="0" showAll="0"/>
    <pivotField dataField="1"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Count of BPCR Health Education" fld="7"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BD1D20-0EAC-4545-96BA-688C67523996}" name="PivotTable26"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BJ6:BJ7" firstHeaderRow="1" firstDataRow="1" firstDataCol="0"/>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compact="0" outline="0" showAll="0">
      <items count="3">
        <item x="0"/>
        <item x="1"/>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dataField="1" compact="0" outline="0" showAll="0"/>
  </pivotFields>
  <rowItems count="1">
    <i/>
  </rowItems>
  <colItems count="1">
    <i/>
  </colItems>
  <dataFields count="1">
    <dataField name="Count of Overall BPCR Practice" fld="1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F17BFA-C006-4187-A274-AF927CEA7318}" name="PivotTable25"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BJ3:BJ4" firstHeaderRow="1" firstDataRow="1" firstDataCol="0"/>
  <pivotFields count="14">
    <pivotField compact="0" outline="0" showAll="0"/>
    <pivotField compact="0" outline="0" showAll="0"/>
    <pivotField compact="0" outline="0" showAll="0">
      <items count="4">
        <item x="1"/>
        <item x="0"/>
        <item x="2"/>
        <item t="default"/>
      </items>
    </pivotField>
    <pivotField compact="0" outline="0" showAll="0"/>
    <pivotField compact="0" numFmtId="164" outline="0" showAll="0"/>
    <pivotField compact="0" outline="0" showAll="0">
      <items count="3">
        <item x="0"/>
        <item x="1"/>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dataField="1" compact="0" outline="0" showAll="0"/>
    <pivotField compact="0" outline="0" showAll="0"/>
  </pivotFields>
  <rowItems count="1">
    <i/>
  </rowItems>
  <colItems count="1">
    <i/>
  </colItems>
  <dataFields count="1">
    <dataField name="Count of Overall BPCR Knowledg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BB9F7C-602F-4786-BF10-CEC642FFCC4B}" name="PivotTable24"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BF2:BH8" firstHeaderRow="1" firstDataRow="1" firstDataCol="2"/>
  <pivotFields count="14">
    <pivotField compact="0" outline="0" showAll="0"/>
    <pivotField compact="0" outline="0" showAll="0"/>
    <pivotField compact="0" outline="0" showAll="0">
      <items count="4">
        <item x="1"/>
        <item x="0"/>
        <item x="2"/>
        <item t="default"/>
      </items>
    </pivotField>
    <pivotField compact="0" outline="0" showAll="0"/>
    <pivotField compact="0" numFmtId="164" outline="0" showAll="0"/>
    <pivotField compact="0" outline="0" showAll="0">
      <items count="3">
        <item x="0"/>
        <item x="1"/>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axis="axisRow" compact="0" outline="0" showAll="0">
      <items count="3">
        <item x="1"/>
        <item x="0"/>
        <item t="default"/>
      </items>
    </pivotField>
    <pivotField axis="axisRow" dataField="1" compact="0" outline="0" showAll="0">
      <items count="3">
        <item x="0"/>
        <item x="1"/>
        <item t="default"/>
      </items>
    </pivotField>
  </pivotFields>
  <rowFields count="2">
    <field x="13"/>
    <field x="12"/>
  </rowFields>
  <rowItems count="6">
    <i>
      <x/>
      <x/>
    </i>
    <i r="1">
      <x v="1"/>
    </i>
    <i t="default">
      <x/>
    </i>
    <i>
      <x v="1"/>
      <x/>
    </i>
    <i t="default">
      <x v="1"/>
    </i>
    <i t="grand">
      <x/>
    </i>
  </rowItems>
  <colItems count="1">
    <i/>
  </colItems>
  <dataFields count="1">
    <dataField name="Count of Overall BPCR Practice" fld="13" subtotal="count" showDataAs="percentOfTotal" baseField="0" baseItem="0" numFmtId="10"/>
  </dataFields>
  <formats count="6">
    <format dxfId="485">
      <pivotArea grandRow="1" outline="0" collapsedLevelsAreSubtotals="1" fieldPosition="0"/>
    </format>
    <format dxfId="484">
      <pivotArea outline="0" fieldPosition="0">
        <references count="1">
          <reference field="13" count="1" selected="0" defaultSubtotal="1">
            <x v="1"/>
          </reference>
        </references>
      </pivotArea>
    </format>
    <format dxfId="483">
      <pivotArea outline="0" fieldPosition="0">
        <references count="2">
          <reference field="12" count="1" selected="0">
            <x v="0"/>
          </reference>
          <reference field="13" count="1" selected="0">
            <x v="1"/>
          </reference>
        </references>
      </pivotArea>
    </format>
    <format dxfId="482">
      <pivotArea outline="0" fieldPosition="0">
        <references count="1">
          <reference field="13" count="1" selected="0" defaultSubtotal="1">
            <x v="0"/>
          </reference>
        </references>
      </pivotArea>
    </format>
    <format dxfId="481">
      <pivotArea outline="0" fieldPosition="0">
        <references count="2">
          <reference field="12" count="1" selected="0">
            <x v="1"/>
          </reference>
          <reference field="13" count="1" selected="0">
            <x v="0"/>
          </reference>
        </references>
      </pivotArea>
    </format>
    <format dxfId="480">
      <pivotArea outline="0" fieldPosition="0">
        <references count="2">
          <reference field="12" count="1" selected="0">
            <x v="0"/>
          </reference>
          <reference field="13" count="1" selected="0">
            <x v="0"/>
          </reference>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EE1457-EF7D-43D0-866B-2E1F3FD27389}" name="PivotTable23"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BA2:BC9" firstHeaderRow="1" firstDataRow="1" firstDataCol="2"/>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compact="0" outline="0" showAll="0">
      <items count="3">
        <item x="0"/>
        <item x="1"/>
        <item t="default"/>
      </items>
    </pivotField>
    <pivotField compact="0" outline="0" showAll="0"/>
    <pivotField axis="axisRow" compact="0" outline="0" showAll="0">
      <items count="4">
        <item x="0"/>
        <item x="2"/>
        <item x="1"/>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axis="axisRow" dataField="1" compact="0" outline="0" showAll="0">
      <items count="3">
        <item x="0"/>
        <item x="1"/>
        <item t="default"/>
      </items>
    </pivotField>
  </pivotFields>
  <rowFields count="2">
    <field x="13"/>
    <field x="7"/>
  </rowFields>
  <rowItems count="7">
    <i>
      <x/>
      <x/>
    </i>
    <i r="1">
      <x v="1"/>
    </i>
    <i r="1">
      <x v="2"/>
    </i>
    <i t="default">
      <x/>
    </i>
    <i>
      <x v="1"/>
      <x v="2"/>
    </i>
    <i t="default">
      <x v="1"/>
    </i>
    <i t="grand">
      <x/>
    </i>
  </rowItems>
  <colItems count="1">
    <i/>
  </colItems>
  <dataFields count="1">
    <dataField name="Count of Overall BPCR Practice" fld="13" subtotal="count" baseField="0" baseItem="0"/>
  </dataFields>
  <chartFormats count="2">
    <chartFormat chart="1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95FE70-A6BB-4F85-B306-D637AC16647D}" name="PivotTable22"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U2:AW8" firstHeaderRow="1" firstDataRow="1" firstDataCol="2"/>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axis="axisRow" compact="0" outline="0" showAll="0">
      <items count="3">
        <item x="0"/>
        <item x="1"/>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axis="axisRow" dataField="1" compact="0" outline="0" showAll="0">
      <items count="3">
        <item x="0"/>
        <item x="1"/>
        <item t="default"/>
      </items>
    </pivotField>
  </pivotFields>
  <rowFields count="2">
    <field x="13"/>
    <field x="5"/>
  </rowFields>
  <rowItems count="6">
    <i>
      <x/>
      <x/>
    </i>
    <i r="1">
      <x v="1"/>
    </i>
    <i t="default">
      <x/>
    </i>
    <i>
      <x v="1"/>
      <x v="1"/>
    </i>
    <i t="default">
      <x v="1"/>
    </i>
    <i t="grand">
      <x/>
    </i>
  </rowItems>
  <colItems count="1">
    <i/>
  </colItems>
  <dataFields count="1">
    <dataField name="Count of Overall BPCR Practice" fld="13" subtotal="count" showDataAs="percentOfTotal" baseField="0" baseItem="0" numFmtId="10"/>
  </dataFields>
  <formats count="6">
    <format dxfId="509">
      <pivotArea outline="0" fieldPosition="0">
        <references count="1">
          <reference field="5" count="1" selected="0">
            <x v="0"/>
          </reference>
        </references>
      </pivotArea>
    </format>
    <format dxfId="508">
      <pivotArea outline="0" fieldPosition="0">
        <references count="1">
          <reference field="5" count="1" selected="0">
            <x v="1"/>
          </reference>
        </references>
      </pivotArea>
    </format>
    <format dxfId="489">
      <pivotArea grandRow="1" outline="0" collapsedLevelsAreSubtotals="1" fieldPosition="0"/>
    </format>
    <format dxfId="488">
      <pivotArea outline="0" fieldPosition="0">
        <references count="2">
          <reference field="5" count="1" selected="0">
            <x v="0"/>
          </reference>
          <reference field="13" count="1" selected="0">
            <x v="0"/>
          </reference>
        </references>
      </pivotArea>
    </format>
    <format dxfId="487">
      <pivotArea outline="0" fieldPosition="0">
        <references count="1">
          <reference field="13" count="1" selected="0" defaultSubtotal="1">
            <x v="0"/>
          </reference>
        </references>
      </pivotArea>
    </format>
    <format dxfId="486">
      <pivotArea outline="0" fieldPosition="0">
        <references count="1">
          <reference field="13" count="1" selected="0" defaultSubtotal="1">
            <x v="1"/>
          </reference>
        </references>
      </pivotArea>
    </format>
  </formats>
  <chartFormats count="3">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C22EF9-4664-470D-B39D-F94332BE4A4B}" name="PivotTable5"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E3:AG12" firstHeaderRow="1" firstDataRow="1" firstDataCol="2"/>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compact="0" outline="0" showAll="0">
      <items count="3">
        <item x="0"/>
        <item x="1"/>
        <item t="default"/>
      </items>
    </pivotField>
    <pivotField compact="0" outline="0" showAll="0"/>
    <pivotField axis="axisRow" compact="0" outline="0" showAll="0">
      <items count="4">
        <item x="0"/>
        <item x="2"/>
        <item x="1"/>
        <item t="default"/>
      </items>
    </pivotField>
    <pivotField compact="0" outline="0" showAll="0">
      <items count="3">
        <item x="0"/>
        <item x="1"/>
        <item t="default"/>
      </items>
    </pivotField>
    <pivotField compact="0" outline="0" showAll="0"/>
    <pivotField compact="0" outline="0" showAll="0"/>
    <pivotField compact="0" outline="0" showAll="0"/>
    <pivotField axis="axisRow" dataField="1" compact="0" outline="0" showAll="0">
      <items count="3">
        <item x="1"/>
        <item x="0"/>
        <item t="default"/>
      </items>
    </pivotField>
    <pivotField compact="0" outline="0" showAll="0"/>
  </pivotFields>
  <rowFields count="2">
    <field x="12"/>
    <field x="7"/>
  </rowFields>
  <rowItems count="9">
    <i>
      <x/>
      <x/>
    </i>
    <i r="1">
      <x v="1"/>
    </i>
    <i r="1">
      <x v="2"/>
    </i>
    <i t="default">
      <x/>
    </i>
    <i>
      <x v="1"/>
      <x/>
    </i>
    <i r="1">
      <x v="1"/>
    </i>
    <i r="1">
      <x v="2"/>
    </i>
    <i t="default">
      <x v="1"/>
    </i>
    <i t="grand">
      <x/>
    </i>
  </rowItems>
  <colItems count="1">
    <i/>
  </colItems>
  <dataFields count="1">
    <dataField name="Count of Overall BPCR Knowledge" fld="12" subtotal="count" showDataAs="percentOfTotal" baseField="0" baseItem="0" numFmtId="10"/>
  </dataFields>
  <formats count="4">
    <format dxfId="507">
      <pivotArea outline="0" fieldPosition="0">
        <references count="1">
          <reference field="4294967294" count="1">
            <x v="0"/>
          </reference>
        </references>
      </pivotArea>
    </format>
    <format dxfId="506">
      <pivotArea outline="0" fieldPosition="0">
        <references count="1">
          <reference field="7" count="1" selected="0">
            <x v="0"/>
          </reference>
        </references>
      </pivotArea>
    </format>
    <format dxfId="505">
      <pivotArea outline="0" fieldPosition="0">
        <references count="1">
          <reference field="7" count="1" selected="0">
            <x v="1"/>
          </reference>
        </references>
      </pivotArea>
    </format>
    <format dxfId="504">
      <pivotArea outline="0" fieldPosition="0">
        <references count="1">
          <reference field="7" count="1" selected="0">
            <x v="2"/>
          </reference>
        </references>
      </pivotArea>
    </format>
  </formats>
  <chartFormats count="6">
    <chartFormat chart="6" format="17"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4" format="10">
      <pivotArea type="data" outline="0" fieldPosition="0">
        <references count="3">
          <reference field="4294967294" count="1" selected="0">
            <x v="0"/>
          </reference>
          <reference field="7" count="1" selected="0">
            <x v="2"/>
          </reference>
          <reference field="12" count="1" selected="0">
            <x v="1"/>
          </reference>
        </references>
      </pivotArea>
    </chartFormat>
    <chartFormat chart="4" format="11">
      <pivotArea type="data" outline="0" fieldPosition="0">
        <references count="3">
          <reference field="4294967294" count="1" selected="0">
            <x v="0"/>
          </reference>
          <reference field="7" count="1" selected="0">
            <x v="1"/>
          </reference>
          <reference field="12" count="1" selected="0">
            <x v="0"/>
          </reference>
        </references>
      </pivotArea>
    </chartFormat>
    <chartFormat chart="4" format="12">
      <pivotArea type="data" outline="0" fieldPosition="0">
        <references count="3">
          <reference field="4294967294" count="1" selected="0">
            <x v="0"/>
          </reference>
          <reference field="7"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60363B-F1F3-4079-A20F-7EDA28E2527A}" name="PivotTable4"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A3:AC30" firstHeaderRow="1" firstDataRow="1" firstDataCol="2"/>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axis="axisRow" compact="0" numFmtId="164" outline="0" showAll="0" measureFilter="1">
      <items count="24">
        <item x="18"/>
        <item x="19"/>
        <item x="6"/>
        <item x="0"/>
        <item x="3"/>
        <item x="22"/>
        <item x="1"/>
        <item x="4"/>
        <item x="9"/>
        <item x="2"/>
        <item x="12"/>
        <item x="13"/>
        <item x="7"/>
        <item x="8"/>
        <item x="11"/>
        <item x="5"/>
        <item x="20"/>
        <item x="14"/>
        <item x="17"/>
        <item x="21"/>
        <item x="15"/>
        <item x="10"/>
        <item x="16"/>
        <item t="default"/>
      </items>
    </pivotField>
    <pivotField compact="0" outline="0" showAll="0">
      <items count="3">
        <item x="0"/>
        <item x="1"/>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axis="axisRow" dataField="1" compact="0" outline="0" showAll="0">
      <items count="3">
        <item x="1"/>
        <item x="0"/>
        <item t="default"/>
      </items>
    </pivotField>
    <pivotField compact="0" outline="0" showAll="0"/>
  </pivotFields>
  <rowFields count="2">
    <field x="12"/>
    <field x="4"/>
  </rowFields>
  <rowItems count="27">
    <i>
      <x/>
      <x v="2"/>
    </i>
    <i r="1">
      <x v="4"/>
    </i>
    <i r="1">
      <x v="6"/>
    </i>
    <i r="1">
      <x v="7"/>
    </i>
    <i r="1">
      <x v="8"/>
    </i>
    <i r="1">
      <x v="9"/>
    </i>
    <i r="1">
      <x v="11"/>
    </i>
    <i r="1">
      <x v="12"/>
    </i>
    <i r="1">
      <x v="13"/>
    </i>
    <i r="1">
      <x v="15"/>
    </i>
    <i r="1">
      <x v="16"/>
    </i>
    <i r="1">
      <x v="18"/>
    </i>
    <i r="1">
      <x v="19"/>
    </i>
    <i t="default">
      <x/>
    </i>
    <i>
      <x v="1"/>
      <x/>
    </i>
    <i r="1">
      <x v="1"/>
    </i>
    <i r="1">
      <x v="2"/>
    </i>
    <i r="1">
      <x v="3"/>
    </i>
    <i r="1">
      <x v="4"/>
    </i>
    <i r="1">
      <x v="6"/>
    </i>
    <i r="1">
      <x v="7"/>
    </i>
    <i r="1">
      <x v="8"/>
    </i>
    <i r="1">
      <x v="9"/>
    </i>
    <i r="1">
      <x v="11"/>
    </i>
    <i r="1">
      <x v="13"/>
    </i>
    <i t="default">
      <x v="1"/>
    </i>
    <i t="grand">
      <x/>
    </i>
  </rowItems>
  <colItems count="1">
    <i/>
  </colItems>
  <dataFields count="1">
    <dataField name="Count of Overall BPCR Knowledge" fld="12" subtotal="count" showDataAs="percentOfTotal" baseField="0" baseItem="0" numFmtId="10"/>
  </dataFields>
  <chartFormats count="50">
    <chartFormat chart="7" format="0" series="1">
      <pivotArea type="data" outline="0" fieldPosition="0">
        <references count="1">
          <reference field="4294967294" count="1" selected="0">
            <x v="0"/>
          </reference>
        </references>
      </pivotArea>
    </chartFormat>
    <chartFormat chart="7" format="1">
      <pivotArea type="data" outline="0" fieldPosition="0">
        <references count="3">
          <reference field="4294967294" count="1" selected="0">
            <x v="0"/>
          </reference>
          <reference field="4" count="1" selected="0">
            <x v="4"/>
          </reference>
          <reference field="12" count="1" selected="0">
            <x v="0"/>
          </reference>
        </references>
      </pivotArea>
    </chartFormat>
    <chartFormat chart="7" format="2">
      <pivotArea type="data" outline="0" fieldPosition="0">
        <references count="3">
          <reference field="4294967294" count="1" selected="0">
            <x v="0"/>
          </reference>
          <reference field="4" count="1" selected="0">
            <x v="2"/>
          </reference>
          <reference field="12" count="1" selected="0">
            <x v="0"/>
          </reference>
        </references>
      </pivotArea>
    </chartFormat>
    <chartFormat chart="7" format="3">
      <pivotArea type="data" outline="0" fieldPosition="0">
        <references count="3">
          <reference field="4294967294" count="1" selected="0">
            <x v="0"/>
          </reference>
          <reference field="4" count="1" selected="0">
            <x v="6"/>
          </reference>
          <reference field="12" count="1" selected="0">
            <x v="0"/>
          </reference>
        </references>
      </pivotArea>
    </chartFormat>
    <chartFormat chart="7" format="4">
      <pivotArea type="data" outline="0" fieldPosition="0">
        <references count="3">
          <reference field="4294967294" count="1" selected="0">
            <x v="0"/>
          </reference>
          <reference field="4" count="1" selected="0">
            <x v="7"/>
          </reference>
          <reference field="12" count="1" selected="0">
            <x v="0"/>
          </reference>
        </references>
      </pivotArea>
    </chartFormat>
    <chartFormat chart="7" format="5">
      <pivotArea type="data" outline="0" fieldPosition="0">
        <references count="3">
          <reference field="4294967294" count="1" selected="0">
            <x v="0"/>
          </reference>
          <reference field="4" count="1" selected="0">
            <x v="8"/>
          </reference>
          <reference field="12" count="1" selected="0">
            <x v="0"/>
          </reference>
        </references>
      </pivotArea>
    </chartFormat>
    <chartFormat chart="7" format="6">
      <pivotArea type="data" outline="0" fieldPosition="0">
        <references count="3">
          <reference field="4294967294" count="1" selected="0">
            <x v="0"/>
          </reference>
          <reference field="4" count="1" selected="0">
            <x v="9"/>
          </reference>
          <reference field="12" count="1" selected="0">
            <x v="0"/>
          </reference>
        </references>
      </pivotArea>
    </chartFormat>
    <chartFormat chart="7" format="7">
      <pivotArea type="data" outline="0" fieldPosition="0">
        <references count="3">
          <reference field="4294967294" count="1" selected="0">
            <x v="0"/>
          </reference>
          <reference field="4" count="1" selected="0">
            <x v="11"/>
          </reference>
          <reference field="12" count="1" selected="0">
            <x v="0"/>
          </reference>
        </references>
      </pivotArea>
    </chartFormat>
    <chartFormat chart="7" format="8">
      <pivotArea type="data" outline="0" fieldPosition="0">
        <references count="3">
          <reference field="4294967294" count="1" selected="0">
            <x v="0"/>
          </reference>
          <reference field="4" count="1" selected="0">
            <x v="12"/>
          </reference>
          <reference field="12" count="1" selected="0">
            <x v="0"/>
          </reference>
        </references>
      </pivotArea>
    </chartFormat>
    <chartFormat chart="7" format="9">
      <pivotArea type="data" outline="0" fieldPosition="0">
        <references count="3">
          <reference field="4294967294" count="1" selected="0">
            <x v="0"/>
          </reference>
          <reference field="4" count="1" selected="0">
            <x v="13"/>
          </reference>
          <reference field="12" count="1" selected="0">
            <x v="0"/>
          </reference>
        </references>
      </pivotArea>
    </chartFormat>
    <chartFormat chart="7" format="10">
      <pivotArea type="data" outline="0" fieldPosition="0">
        <references count="3">
          <reference field="4294967294" count="1" selected="0">
            <x v="0"/>
          </reference>
          <reference field="4" count="1" selected="0">
            <x v="15"/>
          </reference>
          <reference field="12" count="1" selected="0">
            <x v="0"/>
          </reference>
        </references>
      </pivotArea>
    </chartFormat>
    <chartFormat chart="7" format="11">
      <pivotArea type="data" outline="0" fieldPosition="0">
        <references count="3">
          <reference field="4294967294" count="1" selected="0">
            <x v="0"/>
          </reference>
          <reference field="4" count="1" selected="0">
            <x v="16"/>
          </reference>
          <reference field="12" count="1" selected="0">
            <x v="0"/>
          </reference>
        </references>
      </pivotArea>
    </chartFormat>
    <chartFormat chart="7" format="12">
      <pivotArea type="data" outline="0" fieldPosition="0">
        <references count="3">
          <reference field="4294967294" count="1" selected="0">
            <x v="0"/>
          </reference>
          <reference field="4" count="1" selected="0">
            <x v="4"/>
          </reference>
          <reference field="12" count="1" selected="0">
            <x v="1"/>
          </reference>
        </references>
      </pivotArea>
    </chartFormat>
    <chartFormat chart="7" format="13">
      <pivotArea type="data" outline="0" fieldPosition="0">
        <references count="3">
          <reference field="4294967294" count="1" selected="0">
            <x v="0"/>
          </reference>
          <reference field="4" count="1" selected="0">
            <x v="2"/>
          </reference>
          <reference field="12" count="1" selected="0">
            <x v="1"/>
          </reference>
        </references>
      </pivotArea>
    </chartFormat>
    <chartFormat chart="7" format="14">
      <pivotArea type="data" outline="0" fieldPosition="0">
        <references count="3">
          <reference field="4294967294" count="1" selected="0">
            <x v="0"/>
          </reference>
          <reference field="4" count="1" selected="0">
            <x v="3"/>
          </reference>
          <reference field="12" count="1" selected="0">
            <x v="1"/>
          </reference>
        </references>
      </pivotArea>
    </chartFormat>
    <chartFormat chart="7" format="15">
      <pivotArea type="data" outline="0" fieldPosition="0">
        <references count="3">
          <reference field="4294967294" count="1" selected="0">
            <x v="0"/>
          </reference>
          <reference field="4" count="1" selected="0">
            <x v="7"/>
          </reference>
          <reference field="12" count="1" selected="0">
            <x v="1"/>
          </reference>
        </references>
      </pivotArea>
    </chartFormat>
    <chartFormat chart="7" format="16">
      <pivotArea type="data" outline="0" fieldPosition="0">
        <references count="3">
          <reference field="4294967294" count="1" selected="0">
            <x v="0"/>
          </reference>
          <reference field="4" count="1" selected="0">
            <x v="6"/>
          </reference>
          <reference field="12" count="1" selected="0">
            <x v="1"/>
          </reference>
        </references>
      </pivotArea>
    </chartFormat>
    <chartFormat chart="7" format="17">
      <pivotArea type="data" outline="0" fieldPosition="0">
        <references count="3">
          <reference field="4294967294" count="1" selected="0">
            <x v="0"/>
          </reference>
          <reference field="4" count="1" selected="0">
            <x v="13"/>
          </reference>
          <reference field="12" count="1" selected="0">
            <x v="1"/>
          </reference>
        </references>
      </pivotArea>
    </chartFormat>
    <chartFormat chart="7" format="18">
      <pivotArea type="data" outline="0" fieldPosition="0">
        <references count="3">
          <reference field="4294967294" count="1" selected="0">
            <x v="0"/>
          </reference>
          <reference field="4" count="1" selected="0">
            <x v="11"/>
          </reference>
          <reference field="12" count="1" selected="0">
            <x v="1"/>
          </reference>
        </references>
      </pivotArea>
    </chartFormat>
    <chartFormat chart="7" format="19">
      <pivotArea type="data" outline="0" fieldPosition="0">
        <references count="3">
          <reference field="4294967294" count="1" selected="0">
            <x v="0"/>
          </reference>
          <reference field="4" count="1" selected="0">
            <x v="9"/>
          </reference>
          <reference field="12" count="1" selected="0">
            <x v="1"/>
          </reference>
        </references>
      </pivotArea>
    </chartFormat>
    <chartFormat chart="7" format="20">
      <pivotArea type="data" outline="0" fieldPosition="0">
        <references count="3">
          <reference field="4294967294" count="1" selected="0">
            <x v="0"/>
          </reference>
          <reference field="4" count="1" selected="0">
            <x v="8"/>
          </reference>
          <reference field="12" count="1" selected="0">
            <x v="1"/>
          </reference>
        </references>
      </pivotArea>
    </chartFormat>
    <chartFormat chart="7" format="21">
      <pivotArea type="data" outline="0" fieldPosition="0">
        <references count="3">
          <reference field="4294967294" count="1" selected="0">
            <x v="0"/>
          </reference>
          <reference field="4" count="1" selected="0">
            <x v="1"/>
          </reference>
          <reference field="12" count="1" selected="0">
            <x v="1"/>
          </reference>
        </references>
      </pivotArea>
    </chartFormat>
    <chartFormat chart="7" format="22">
      <pivotArea type="data" outline="0" fieldPosition="0">
        <references count="3">
          <reference field="4294967294" count="1" selected="0">
            <x v="0"/>
          </reference>
          <reference field="4" count="1" selected="0">
            <x v="0"/>
          </reference>
          <reference field="12" count="1" selected="0">
            <x v="1"/>
          </reference>
        </references>
      </pivotArea>
    </chartFormat>
    <chartFormat chart="7" format="23">
      <pivotArea type="data" outline="0" fieldPosition="0">
        <references count="3">
          <reference field="4294967294" count="1" selected="0">
            <x v="0"/>
          </reference>
          <reference field="4" count="1" selected="0">
            <x v="19"/>
          </reference>
          <reference field="12" count="1" selected="0">
            <x v="0"/>
          </reference>
        </references>
      </pivotArea>
    </chartFormat>
    <chartFormat chart="7" format="24">
      <pivotArea type="data" outline="0" fieldPosition="0">
        <references count="3">
          <reference field="4294967294" count="1" selected="0">
            <x v="0"/>
          </reference>
          <reference field="4" count="1" selected="0">
            <x v="18"/>
          </reference>
          <reference field="12" count="1" selected="0">
            <x v="0"/>
          </reference>
        </references>
      </pivotArea>
    </chartFormat>
    <chartFormat chart="5" format="75" series="1">
      <pivotArea type="data" outline="0" fieldPosition="0">
        <references count="1">
          <reference field="4294967294" count="1" selected="0">
            <x v="0"/>
          </reference>
        </references>
      </pivotArea>
    </chartFormat>
    <chartFormat chart="5" format="76">
      <pivotArea type="data" outline="0" fieldPosition="0">
        <references count="3">
          <reference field="4294967294" count="1" selected="0">
            <x v="0"/>
          </reference>
          <reference field="4" count="1" selected="0">
            <x v="2"/>
          </reference>
          <reference field="12" count="1" selected="0">
            <x v="0"/>
          </reference>
        </references>
      </pivotArea>
    </chartFormat>
    <chartFormat chart="5" format="77">
      <pivotArea type="data" outline="0" fieldPosition="0">
        <references count="3">
          <reference field="4294967294" count="1" selected="0">
            <x v="0"/>
          </reference>
          <reference field="4" count="1" selected="0">
            <x v="4"/>
          </reference>
          <reference field="12" count="1" selected="0">
            <x v="0"/>
          </reference>
        </references>
      </pivotArea>
    </chartFormat>
    <chartFormat chart="5" format="78">
      <pivotArea type="data" outline="0" fieldPosition="0">
        <references count="3">
          <reference field="4294967294" count="1" selected="0">
            <x v="0"/>
          </reference>
          <reference field="4" count="1" selected="0">
            <x v="6"/>
          </reference>
          <reference field="12" count="1" selected="0">
            <x v="0"/>
          </reference>
        </references>
      </pivotArea>
    </chartFormat>
    <chartFormat chart="5" format="79">
      <pivotArea type="data" outline="0" fieldPosition="0">
        <references count="3">
          <reference field="4294967294" count="1" selected="0">
            <x v="0"/>
          </reference>
          <reference field="4" count="1" selected="0">
            <x v="7"/>
          </reference>
          <reference field="12" count="1" selected="0">
            <x v="0"/>
          </reference>
        </references>
      </pivotArea>
    </chartFormat>
    <chartFormat chart="5" format="80">
      <pivotArea type="data" outline="0" fieldPosition="0">
        <references count="3">
          <reference field="4294967294" count="1" selected="0">
            <x v="0"/>
          </reference>
          <reference field="4" count="1" selected="0">
            <x v="8"/>
          </reference>
          <reference field="12" count="1" selected="0">
            <x v="0"/>
          </reference>
        </references>
      </pivotArea>
    </chartFormat>
    <chartFormat chart="5" format="81">
      <pivotArea type="data" outline="0" fieldPosition="0">
        <references count="3">
          <reference field="4294967294" count="1" selected="0">
            <x v="0"/>
          </reference>
          <reference field="4" count="1" selected="0">
            <x v="9"/>
          </reference>
          <reference field="12" count="1" selected="0">
            <x v="0"/>
          </reference>
        </references>
      </pivotArea>
    </chartFormat>
    <chartFormat chart="5" format="82">
      <pivotArea type="data" outline="0" fieldPosition="0">
        <references count="3">
          <reference field="4294967294" count="1" selected="0">
            <x v="0"/>
          </reference>
          <reference field="4" count="1" selected="0">
            <x v="11"/>
          </reference>
          <reference field="12" count="1" selected="0">
            <x v="0"/>
          </reference>
        </references>
      </pivotArea>
    </chartFormat>
    <chartFormat chart="5" format="83">
      <pivotArea type="data" outline="0" fieldPosition="0">
        <references count="3">
          <reference field="4294967294" count="1" selected="0">
            <x v="0"/>
          </reference>
          <reference field="4" count="1" selected="0">
            <x v="12"/>
          </reference>
          <reference field="12" count="1" selected="0">
            <x v="0"/>
          </reference>
        </references>
      </pivotArea>
    </chartFormat>
    <chartFormat chart="5" format="84">
      <pivotArea type="data" outline="0" fieldPosition="0">
        <references count="3">
          <reference field="4294967294" count="1" selected="0">
            <x v="0"/>
          </reference>
          <reference field="4" count="1" selected="0">
            <x v="13"/>
          </reference>
          <reference field="12" count="1" selected="0">
            <x v="0"/>
          </reference>
        </references>
      </pivotArea>
    </chartFormat>
    <chartFormat chart="5" format="85">
      <pivotArea type="data" outline="0" fieldPosition="0">
        <references count="3">
          <reference field="4294967294" count="1" selected="0">
            <x v="0"/>
          </reference>
          <reference field="4" count="1" selected="0">
            <x v="15"/>
          </reference>
          <reference field="12" count="1" selected="0">
            <x v="0"/>
          </reference>
        </references>
      </pivotArea>
    </chartFormat>
    <chartFormat chart="5" format="86">
      <pivotArea type="data" outline="0" fieldPosition="0">
        <references count="3">
          <reference field="4294967294" count="1" selected="0">
            <x v="0"/>
          </reference>
          <reference field="4" count="1" selected="0">
            <x v="16"/>
          </reference>
          <reference field="12" count="1" selected="0">
            <x v="0"/>
          </reference>
        </references>
      </pivotArea>
    </chartFormat>
    <chartFormat chart="5" format="87">
      <pivotArea type="data" outline="0" fieldPosition="0">
        <references count="3">
          <reference field="4294967294" count="1" selected="0">
            <x v="0"/>
          </reference>
          <reference field="4" count="1" selected="0">
            <x v="18"/>
          </reference>
          <reference field="12" count="1" selected="0">
            <x v="0"/>
          </reference>
        </references>
      </pivotArea>
    </chartFormat>
    <chartFormat chart="5" format="88">
      <pivotArea type="data" outline="0" fieldPosition="0">
        <references count="3">
          <reference field="4294967294" count="1" selected="0">
            <x v="0"/>
          </reference>
          <reference field="4" count="1" selected="0">
            <x v="19"/>
          </reference>
          <reference field="12" count="1" selected="0">
            <x v="0"/>
          </reference>
        </references>
      </pivotArea>
    </chartFormat>
    <chartFormat chart="5" format="89">
      <pivotArea type="data" outline="0" fieldPosition="0">
        <references count="3">
          <reference field="4294967294" count="1" selected="0">
            <x v="0"/>
          </reference>
          <reference field="4" count="1" selected="0">
            <x v="0"/>
          </reference>
          <reference field="12" count="1" selected="0">
            <x v="1"/>
          </reference>
        </references>
      </pivotArea>
    </chartFormat>
    <chartFormat chart="5" format="90">
      <pivotArea type="data" outline="0" fieldPosition="0">
        <references count="3">
          <reference field="4294967294" count="1" selected="0">
            <x v="0"/>
          </reference>
          <reference field="4" count="1" selected="0">
            <x v="1"/>
          </reference>
          <reference field="12" count="1" selected="0">
            <x v="1"/>
          </reference>
        </references>
      </pivotArea>
    </chartFormat>
    <chartFormat chart="5" format="91">
      <pivotArea type="data" outline="0" fieldPosition="0">
        <references count="3">
          <reference field="4294967294" count="1" selected="0">
            <x v="0"/>
          </reference>
          <reference field="4" count="1" selected="0">
            <x v="2"/>
          </reference>
          <reference field="12" count="1" selected="0">
            <x v="1"/>
          </reference>
        </references>
      </pivotArea>
    </chartFormat>
    <chartFormat chart="5" format="92">
      <pivotArea type="data" outline="0" fieldPosition="0">
        <references count="3">
          <reference field="4294967294" count="1" selected="0">
            <x v="0"/>
          </reference>
          <reference field="4" count="1" selected="0">
            <x v="3"/>
          </reference>
          <reference field="12" count="1" selected="0">
            <x v="1"/>
          </reference>
        </references>
      </pivotArea>
    </chartFormat>
    <chartFormat chart="5" format="93">
      <pivotArea type="data" outline="0" fieldPosition="0">
        <references count="3">
          <reference field="4294967294" count="1" selected="0">
            <x v="0"/>
          </reference>
          <reference field="4" count="1" selected="0">
            <x v="4"/>
          </reference>
          <reference field="12" count="1" selected="0">
            <x v="1"/>
          </reference>
        </references>
      </pivotArea>
    </chartFormat>
    <chartFormat chart="5" format="94">
      <pivotArea type="data" outline="0" fieldPosition="0">
        <references count="3">
          <reference field="4294967294" count="1" selected="0">
            <x v="0"/>
          </reference>
          <reference field="4" count="1" selected="0">
            <x v="6"/>
          </reference>
          <reference field="12" count="1" selected="0">
            <x v="1"/>
          </reference>
        </references>
      </pivotArea>
    </chartFormat>
    <chartFormat chart="5" format="95">
      <pivotArea type="data" outline="0" fieldPosition="0">
        <references count="3">
          <reference field="4294967294" count="1" selected="0">
            <x v="0"/>
          </reference>
          <reference field="4" count="1" selected="0">
            <x v="7"/>
          </reference>
          <reference field="12" count="1" selected="0">
            <x v="1"/>
          </reference>
        </references>
      </pivotArea>
    </chartFormat>
    <chartFormat chart="5" format="96">
      <pivotArea type="data" outline="0" fieldPosition="0">
        <references count="3">
          <reference field="4294967294" count="1" selected="0">
            <x v="0"/>
          </reference>
          <reference field="4" count="1" selected="0">
            <x v="8"/>
          </reference>
          <reference field="12" count="1" selected="0">
            <x v="1"/>
          </reference>
        </references>
      </pivotArea>
    </chartFormat>
    <chartFormat chart="5" format="97">
      <pivotArea type="data" outline="0" fieldPosition="0">
        <references count="3">
          <reference field="4294967294" count="1" selected="0">
            <x v="0"/>
          </reference>
          <reference field="4" count="1" selected="0">
            <x v="9"/>
          </reference>
          <reference field="12" count="1" selected="0">
            <x v="1"/>
          </reference>
        </references>
      </pivotArea>
    </chartFormat>
    <chartFormat chart="5" format="98">
      <pivotArea type="data" outline="0" fieldPosition="0">
        <references count="3">
          <reference field="4294967294" count="1" selected="0">
            <x v="0"/>
          </reference>
          <reference field="4" count="1" selected="0">
            <x v="11"/>
          </reference>
          <reference field="12" count="1" selected="0">
            <x v="1"/>
          </reference>
        </references>
      </pivotArea>
    </chartFormat>
    <chartFormat chart="5" format="99">
      <pivotArea type="data" outline="0" fieldPosition="0">
        <references count="3">
          <reference field="4294967294" count="1" selected="0">
            <x v="0"/>
          </reference>
          <reference field="4" count="1" selected="0">
            <x v="13"/>
          </reference>
          <reference field="12"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5BC9D0-D439-44EA-AC2C-E8F756F54904}" name="PivotTable13" cacheId="107"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J3:L7" firstHeaderRow="0" firstDataRow="1" firstDataCol="1"/>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compact="0" outline="0" showAll="0">
      <items count="3">
        <item x="0"/>
        <item x="1"/>
        <item t="default"/>
      </items>
    </pivotField>
    <pivotField axis="axisRow" dataField="1" compact="0" outline="0" showAll="0">
      <items count="4">
        <item x="0"/>
        <item x="2"/>
        <item x="1"/>
        <item t="default"/>
      </items>
    </pivotField>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s>
  <rowFields count="1">
    <field x="6"/>
  </rowFields>
  <rowItems count="4">
    <i>
      <x/>
    </i>
    <i>
      <x v="1"/>
    </i>
    <i>
      <x v="2"/>
    </i>
    <i t="grand">
      <x/>
    </i>
  </rowItems>
  <colFields count="1">
    <field x="-2"/>
  </colFields>
  <colItems count="2">
    <i>
      <x/>
    </i>
    <i i="1">
      <x v="1"/>
    </i>
  </colItems>
  <dataFields count="2">
    <dataField name="N" fld="6" subtotal="count" baseField="0" baseItem="0"/>
    <dataField name="percentage%" fld="6"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B64C58C-46F2-48CB-8CE6-8EB518991D64}" name="PivotTable12" cacheId="107"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6:C19" firstHeaderRow="0" firstDataRow="1" firstDataCol="1"/>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axis="axisRow" dataField="1" compact="0" outline="0" showAll="0">
      <items count="3">
        <item x="0"/>
        <item x="1"/>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Fields count="1">
    <field x="-2"/>
  </colFields>
  <colItems count="2">
    <i>
      <x/>
    </i>
    <i i="1">
      <x v="1"/>
    </i>
  </colItems>
  <dataFields count="2">
    <dataField name="N" fld="5" subtotal="count" baseField="0" baseItem="0"/>
    <dataField name="percentage%" fld="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E141A8-F5A5-4F41-BFE4-537B245670B1}" name="PivotTable18" cacheId="107"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F8:H11" firstHeaderRow="0" firstDataRow="1" firstDataCol="1"/>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axis="axisRow" dataField="1" compact="0" outline="0" showAll="0">
      <items count="3">
        <item x="1"/>
        <item x="0"/>
        <item t="default"/>
      </items>
    </pivotField>
    <pivotField compact="0" outline="0" showAll="0"/>
    <pivotField compact="0" outline="0" showAll="0"/>
    <pivotField compact="0" outline="0" showAll="0"/>
  </pivotFields>
  <rowFields count="1">
    <field x="10"/>
  </rowFields>
  <rowItems count="3">
    <i>
      <x/>
    </i>
    <i>
      <x v="1"/>
    </i>
    <i t="grand">
      <x/>
    </i>
  </rowItems>
  <colFields count="1">
    <field x="-2"/>
  </colFields>
  <colItems count="2">
    <i>
      <x/>
    </i>
    <i i="1">
      <x v="1"/>
    </i>
  </colItems>
  <dataFields count="2">
    <dataField name="N" fld="10" subtotal="count" baseField="0" baseItem="0"/>
    <dataField name="Percentag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47340A7-B277-4F97-A9DB-35EA37742208}" name="PivotTable11"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9:C14" firstHeaderRow="0" firstDataRow="1" firstDataCol="1"/>
  <pivotFields count="14">
    <pivotField compact="0" outline="0" showAll="0"/>
    <pivotField compact="0" outline="0" showAll="0"/>
    <pivotField compact="0" outline="0" showAll="0">
      <items count="4">
        <item x="1"/>
        <item x="0"/>
        <item x="2"/>
        <item t="default"/>
      </items>
    </pivotField>
    <pivotField axis="axisRow" dataField="1" compact="0" outline="0" showAll="0">
      <items count="5">
        <item x="0"/>
        <item x="2"/>
        <item x="3"/>
        <item x="1"/>
        <item t="default"/>
      </items>
    </pivotField>
    <pivotField compact="0" numFmtId="164" outline="0" showAll="0"/>
    <pivotField compact="0" outline="0" showAll="0">
      <items count="3">
        <item x="0"/>
        <item x="1"/>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s>
  <rowFields count="1">
    <field x="3"/>
  </rowFields>
  <rowItems count="5">
    <i>
      <x/>
    </i>
    <i>
      <x v="1"/>
    </i>
    <i>
      <x v="2"/>
    </i>
    <i>
      <x v="3"/>
    </i>
    <i t="grand">
      <x/>
    </i>
  </rowItems>
  <colFields count="1">
    <field x="-2"/>
  </colFields>
  <colItems count="2">
    <i>
      <x/>
    </i>
    <i i="1">
      <x v="1"/>
    </i>
  </colItems>
  <dataFields count="2">
    <dataField name="N" fld="3" subtotal="count" baseField="0" baseItem="0"/>
    <dataField name="percentage%" fld="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C3F7BEF-48FA-4DC6-9469-CF8259D98BAB}" name="PivotTable17" cacheId="107"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F3:H6" firstHeaderRow="0" firstDataRow="1" firstDataCol="1"/>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compact="0" outline="0" showAll="0"/>
    <pivotField compact="0" outline="0" showAll="0"/>
    <pivotField compact="0" outline="0" showAll="0"/>
    <pivotField compact="0" outline="0" showAll="0">
      <items count="3">
        <item x="0"/>
        <item x="1"/>
        <item t="default"/>
      </items>
    </pivotField>
    <pivotField axis="axisRow" dataField="1" compact="0" outline="0" showAll="0">
      <items count="3">
        <item x="0"/>
        <item x="1"/>
        <item t="default"/>
      </items>
    </pivotField>
    <pivotField compact="0" outline="0" showAll="0"/>
    <pivotField compact="0" outline="0" showAll="0"/>
    <pivotField compact="0" outline="0" showAll="0"/>
    <pivotField compact="0" outline="0" showAll="0"/>
  </pivotFields>
  <rowFields count="1">
    <field x="9"/>
  </rowFields>
  <rowItems count="3">
    <i>
      <x/>
    </i>
    <i>
      <x v="1"/>
    </i>
    <i t="grand">
      <x/>
    </i>
  </rowItems>
  <colFields count="1">
    <field x="-2"/>
  </colFields>
  <colItems count="2">
    <i>
      <x/>
    </i>
    <i i="1">
      <x v="1"/>
    </i>
  </colItems>
  <dataFields count="2">
    <dataField name="N" fld="9" subtotal="count" baseField="0" baseItem="0"/>
    <dataField name="Percentag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693C5D9-A997-4151-ADBE-D041A61131EB}" name="PivotTable1"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7" firstHeaderRow="0" firstDataRow="1" firstDataCol="1"/>
  <pivotFields count="14">
    <pivotField compact="0" outline="0" showAll="0"/>
    <pivotField compact="0" outline="0" showAll="0"/>
    <pivotField axis="axisRow" dataField="1" compact="0" outline="0" showAll="0">
      <items count="4">
        <item x="1"/>
        <item x="0"/>
        <item x="2"/>
        <item t="default"/>
      </items>
    </pivotField>
    <pivotField compact="0" outline="0" showAll="0">
      <items count="5">
        <item x="0"/>
        <item x="2"/>
        <item x="3"/>
        <item x="1"/>
        <item t="default"/>
      </items>
    </pivotField>
    <pivotField compact="0" numFmtId="164" outline="0" showAll="0"/>
    <pivotField compact="0" outline="0" showAll="0">
      <items count="3">
        <item x="0"/>
        <item x="1"/>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t="grand">
      <x/>
    </i>
  </rowItems>
  <colFields count="1">
    <field x="-2"/>
  </colFields>
  <colItems count="2">
    <i>
      <x/>
    </i>
    <i i="1">
      <x v="1"/>
    </i>
  </colItems>
  <dataFields count="2">
    <dataField name="N" fld="2" subtotal="count" baseField="0" baseItem="0"/>
    <dataField name="percentage%" fld="2"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7B87D55-174C-4136-9650-F492350FA0D7}" name="PivotTable15" cacheId="107"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F18:H21" firstHeaderRow="0" firstDataRow="1" firstDataCol="1"/>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compact="0" outline="0" showAll="0">
      <items count="3">
        <item x="0"/>
        <item x="1"/>
        <item t="default"/>
      </items>
    </pivotField>
    <pivotField compact="0" outline="0" showAll="0"/>
    <pivotField compact="0" outline="0" showAll="0"/>
    <pivotField axis="axisRow"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s>
  <rowFields count="1">
    <field x="8"/>
  </rowFields>
  <rowItems count="3">
    <i>
      <x/>
    </i>
    <i>
      <x v="1"/>
    </i>
    <i t="grand">
      <x/>
    </i>
  </rowItems>
  <colFields count="1">
    <field x="-2"/>
  </colFields>
  <colItems count="2">
    <i>
      <x/>
    </i>
    <i i="1">
      <x v="1"/>
    </i>
  </colItems>
  <dataFields count="2">
    <dataField name="N" fld="8" subtotal="count" baseField="0" baseItem="0"/>
    <dataField name="percentage%" fld="8"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88006B2-0E15-4D6B-8732-F14BA472BF8A}" name="PivotTable21"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N3:P6" firstHeaderRow="0" firstDataRow="1" firstDataCol="1"/>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compact="0" outline="0" showAll="0">
      <items count="3">
        <item x="0"/>
        <item x="1"/>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axis="axisRow" dataField="1" compact="0" outline="0" showAll="0">
      <items count="3">
        <item x="0"/>
        <item x="1"/>
        <item t="default"/>
      </items>
    </pivotField>
  </pivotFields>
  <rowFields count="1">
    <field x="13"/>
  </rowFields>
  <rowItems count="3">
    <i>
      <x/>
    </i>
    <i>
      <x v="1"/>
    </i>
    <i t="grand">
      <x/>
    </i>
  </rowItems>
  <colFields count="1">
    <field x="-2"/>
  </colFields>
  <colItems count="2">
    <i>
      <x/>
    </i>
    <i i="1">
      <x v="1"/>
    </i>
  </colItems>
  <dataFields count="2">
    <dataField name="N" fld="13" subtotal="count" baseField="0" baseItem="0"/>
    <dataField name="Percentag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4A9B153-68B9-43AF-B48E-87E68CCBB0D5}" name="PivotTable20"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16:L19" firstHeaderRow="0" firstDataRow="1" firstDataCol="1"/>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compact="0" outline="0" showAll="0">
      <items count="3">
        <item x="0"/>
        <item x="1"/>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axis="axisRow" dataField="1" compact="0" outline="0" showAll="0">
      <items count="3">
        <item x="1"/>
        <item x="0"/>
        <item t="default"/>
      </items>
    </pivotField>
    <pivotField compact="0" outline="0" showAll="0"/>
  </pivotFields>
  <rowFields count="1">
    <field x="12"/>
  </rowFields>
  <rowItems count="3">
    <i>
      <x/>
    </i>
    <i>
      <x v="1"/>
    </i>
    <i t="grand">
      <x/>
    </i>
  </rowItems>
  <colFields count="1">
    <field x="-2"/>
  </colFields>
  <colItems count="2">
    <i>
      <x/>
    </i>
    <i i="1">
      <x v="1"/>
    </i>
  </colItems>
  <dataFields count="2">
    <dataField name="N" fld="12" subtotal="count" baseField="0" baseItem="0"/>
    <dataField name="Percentag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9C7D504-05A7-42E3-9CF2-8E54AEAF6DED}" name="PivotTable14" cacheId="107"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J10:L14" firstHeaderRow="0" firstDataRow="1" firstDataCol="1"/>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compact="0" outline="0" showAll="0">
      <items count="3">
        <item x="0"/>
        <item x="1"/>
        <item t="default"/>
      </items>
    </pivotField>
    <pivotField compact="0" outline="0" showAll="0"/>
    <pivotField axis="axisRow" dataField="1" compact="0" outline="0" showAll="0">
      <items count="4">
        <item x="0"/>
        <item x="2"/>
        <item x="1"/>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s>
  <rowFields count="1">
    <field x="7"/>
  </rowFields>
  <rowItems count="4">
    <i>
      <x/>
    </i>
    <i>
      <x v="1"/>
    </i>
    <i>
      <x v="2"/>
    </i>
    <i t="grand">
      <x/>
    </i>
  </rowItems>
  <colFields count="1">
    <field x="-2"/>
  </colFields>
  <colItems count="2">
    <i>
      <x/>
    </i>
    <i i="1">
      <x v="1"/>
    </i>
  </colItems>
  <dataFields count="2">
    <dataField name="n" fld="7" subtotal="count" baseField="0" baseItem="0"/>
    <dataField name="percentage%" fld="7"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64A4DB9-BC29-40D2-AC51-B89C5214D9A9}" name="PivotTable19" cacheId="107"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F13:H16" firstHeaderRow="0" firstDataRow="1" firstDataCol="1"/>
  <pivotFields count="14">
    <pivotField compact="0" outline="0" showAll="0"/>
    <pivotField compact="0" outline="0" showAll="0"/>
    <pivotField compact="0" outline="0" showAll="0">
      <items count="4">
        <item x="1"/>
        <item x="0"/>
        <item x="2"/>
        <item t="default"/>
      </items>
    </pivotField>
    <pivotField compact="0" outline="0" showAll="0">
      <items count="5">
        <item x="0"/>
        <item x="2"/>
        <item x="3"/>
        <item x="1"/>
        <item t="default"/>
      </items>
    </pivotField>
    <pivotField compact="0" numFmtId="164" outline="0" showAll="0"/>
    <pivotField compact="0" outline="0" showAll="0">
      <items count="3">
        <item x="0"/>
        <item x="1"/>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axis="axisRow" dataField="1" compact="0" outline="0" showAll="0">
      <items count="3">
        <item x="0"/>
        <item x="1"/>
        <item t="default"/>
      </items>
    </pivotField>
    <pivotField compact="0" outline="0" showAll="0"/>
    <pivotField compact="0" outline="0" showAll="0"/>
  </pivotFields>
  <rowFields count="1">
    <field x="11"/>
  </rowFields>
  <rowItems count="3">
    <i>
      <x/>
    </i>
    <i>
      <x v="1"/>
    </i>
    <i t="grand">
      <x/>
    </i>
  </rowItems>
  <colFields count="1">
    <field x="-2"/>
  </colFields>
  <colItems count="2">
    <i>
      <x/>
    </i>
    <i i="1">
      <x v="1"/>
    </i>
  </colItems>
  <dataFields count="2">
    <dataField name="N" fld="11" subtotal="count" baseField="0" baseItem="0"/>
    <dataField name="Percentage%"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F5ED8D82-08D2-4BEF-B96D-829DCC5A19BC}" autoFormatId="16" applyNumberFormats="0" applyBorderFormats="0" applyFontFormats="0" applyPatternFormats="0" applyAlignmentFormats="0" applyWidthHeightFormats="0">
  <queryTableRefresh nextId="15">
    <queryTableFields count="14">
      <queryTableField id="1" name="Respondent ID" tableColumnId="1"/>
      <queryTableField id="2" name="Age" tableColumnId="2"/>
      <queryTableField id="3" name="Marital Status" tableColumnId="3"/>
      <queryTableField id="4" name="Education Level" tableColumnId="4"/>
      <queryTableField id="5" name="Income" tableColumnId="5"/>
      <queryTableField id="6" name="Ever Attended ANC" tableColumnId="6"/>
      <queryTableField id="7" name="ANC During Last Pregnancy" tableColumnId="7"/>
      <queryTableField id="8" name="BPCR Health Education" tableColumnId="8"/>
      <queryTableField id="9" name="Planned Place of Birth" tableColumnId="9"/>
      <queryTableField id="10" name="Knowledge of Pregnancy Danger Signs" tableColumnId="10"/>
      <queryTableField id="11" name="Knowledge of Labor Danger Signs" tableColumnId="11"/>
      <queryTableField id="12" name="Knowledge of Postpartum Danger Signs" tableColumnId="12"/>
      <queryTableField id="13" name="Overall BPCR Knowledge" tableColumnId="13"/>
      <queryTableField id="14" name="Overall BPCR Pract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FB5134C-A729-4282-A994-8267E392A21C}" sourceName="Marital Status">
  <pivotTables>
    <pivotTable tabId="7" name="PivotTable30"/>
    <pivotTable tabId="7" name="PivotTable1"/>
    <pivotTable tabId="7" name="PivotTable11"/>
    <pivotTable tabId="7" name="PivotTable12"/>
    <pivotTable tabId="7" name="PivotTable13"/>
    <pivotTable tabId="7" name="PivotTable14"/>
    <pivotTable tabId="7" name="PivotTable15"/>
    <pivotTable tabId="7" name="PivotTable17"/>
    <pivotTable tabId="7" name="PivotTable18"/>
    <pivotTable tabId="7" name="PivotTable19"/>
    <pivotTable tabId="7" name="PivotTable20"/>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29"/>
    <pivotTable tabId="7" name="PivotTable4"/>
    <pivotTable tabId="7" name="PivotTable5"/>
  </pivotTables>
  <data>
    <tabular pivotCacheId="180420505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DD825CAB-A2B1-47FE-BF0F-BD177150187F}" sourceName="Education Level">
  <pivotTables>
    <pivotTable tabId="7" name="PivotTable30"/>
    <pivotTable tabId="7" name="PivotTable1"/>
    <pivotTable tabId="7" name="PivotTable11"/>
    <pivotTable tabId="7" name="PivotTable12"/>
    <pivotTable tabId="7" name="PivotTable13"/>
    <pivotTable tabId="7" name="PivotTable14"/>
    <pivotTable tabId="7" name="PivotTable15"/>
    <pivotTable tabId="7" name="PivotTable17"/>
    <pivotTable tabId="7" name="PivotTable18"/>
    <pivotTable tabId="7" name="PivotTable19"/>
    <pivotTable tabId="7" name="PivotTable20"/>
    <pivotTable tabId="7" name="PivotTable21"/>
    <pivotTable tabId="7" name="PivotTable22"/>
    <pivotTable tabId="7" name="PivotTable23"/>
    <pivotTable tabId="7" name="PivotTable26"/>
    <pivotTable tabId="7" name="PivotTable27"/>
    <pivotTable tabId="7" name="PivotTable28"/>
    <pivotTable tabId="7" name="PivotTable29"/>
    <pivotTable tabId="7" name="PivotTable4"/>
    <pivotTable tabId="7" name="PivotTable5"/>
  </pivotTables>
  <data>
    <tabular pivotCacheId="1804205057">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r_Attended_ANC" xr10:uid="{77503E6C-54D3-4B80-BA05-30E5F028F9C1}" sourceName="Ever Attended ANC">
  <pivotTables>
    <pivotTable tabId="7" name="PivotTable30"/>
    <pivotTable tabId="7" name="PivotTable1"/>
    <pivotTable tabId="7" name="PivotTable11"/>
    <pivotTable tabId="7" name="PivotTable12"/>
    <pivotTable tabId="7" name="PivotTable13"/>
    <pivotTable tabId="7" name="PivotTable14"/>
    <pivotTable tabId="7" name="PivotTable15"/>
    <pivotTable tabId="7" name="PivotTable19"/>
    <pivotTable tabId="7" name="PivotTable20"/>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29"/>
    <pivotTable tabId="7" name="PivotTable4"/>
    <pivotTable tabId="7" name="PivotTable5"/>
  </pivotTables>
  <data>
    <tabular pivotCacheId="180420505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ned_Place_of_Birth" xr10:uid="{67737514-B756-4DB4-AFCE-0863DE861657}" sourceName="Planned Place of Birth">
  <pivotTables>
    <pivotTable tabId="7" name="PivotTable30"/>
    <pivotTable tabId="7" name="PivotTable1"/>
    <pivotTable tabId="7" name="PivotTable11"/>
    <pivotTable tabId="7" name="PivotTable12"/>
    <pivotTable tabId="7" name="PivotTable13"/>
    <pivotTable tabId="7" name="PivotTable14"/>
    <pivotTable tabId="7" name="PivotTable15"/>
    <pivotTable tabId="7" name="PivotTable17"/>
    <pivotTable tabId="7" name="PivotTable18"/>
    <pivotTable tabId="7" name="PivotTable19"/>
    <pivotTable tabId="7" name="PivotTable20"/>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29"/>
    <pivotTable tabId="7" name="PivotTable4"/>
    <pivotTable tabId="7" name="PivotTable5"/>
  </pivotTables>
  <data>
    <tabular pivotCacheId="180420505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096B1EC-6E01-47CA-8C60-F4E2B15B77E2}" cache="Slicer_Marital_Status" caption="Marital Status" style="SlicerStyleDark5" rowHeight="241300"/>
  <slicer name="Education Level" xr10:uid="{A184A7D1-676D-4FA7-B667-AC2057A75DB9}" cache="Slicer_Education_Level" caption="Education Level" style="SlicerStyleDark4" rowHeight="241300"/>
  <slicer name="Ever Attended ANC" xr10:uid="{8EB8882B-9676-48AD-A7FA-2A264935D949}" cache="Slicer_Ever_Attended_ANC" caption="Ever Attended ANC" style="SlicerStyleDark6" rowHeight="241300"/>
  <slicer name="Planned Place of Birth" xr10:uid="{EA7A4176-0AA5-4399-AEB3-B92AC00FC046}" cache="Slicer_Planned_Place_of_Birth" caption="Planned Place of Birth"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82D10F-39AB-4A95-9BFA-D041F129A1B2}" name="tbl_BPCR" displayName="tbl_BPCR" ref="A1:N301" tableType="queryTable" totalsRowShown="0">
  <autoFilter ref="A1:N301" xr:uid="{EF82D10F-39AB-4A95-9BFA-D041F129A1B2}"/>
  <tableColumns count="14">
    <tableColumn id="1" xr3:uid="{5E8F810B-4364-4F9C-AA92-7AA8C44C8238}" uniqueName="1" name="Respondent ID" queryTableFieldId="1"/>
    <tableColumn id="2" xr3:uid="{BCF75CFC-EB64-40A2-8BCB-EADB536E2C7C}" uniqueName="2" name="Age" queryTableFieldId="2"/>
    <tableColumn id="3" xr3:uid="{3663BF6C-9EAF-49B0-AD6B-995638F4753E}" uniqueName="3" name="Marital Status" queryTableFieldId="3" dataDxfId="521"/>
    <tableColumn id="4" xr3:uid="{7E13016B-1065-4254-9A89-53FF093C045A}" uniqueName="4" name="Education Level" queryTableFieldId="4" dataDxfId="520"/>
    <tableColumn id="5" xr3:uid="{7B3E7120-C681-4491-979D-D02281F3ABEC}" uniqueName="5" name="Income" queryTableFieldId="5" dataDxfId="519" dataCellStyle="Currency"/>
    <tableColumn id="6" xr3:uid="{73FE3675-0410-4F10-8AEA-4E50B481D5EC}" uniqueName="6" name="Ever Attended ANC" queryTableFieldId="6" dataDxfId="518"/>
    <tableColumn id="7" xr3:uid="{334E30C0-3C7F-4118-94D2-487C8EBD2DEA}" uniqueName="7" name="ANC During Last Pregnancy" queryTableFieldId="7" dataDxfId="517"/>
    <tableColumn id="8" xr3:uid="{56CF549E-DC04-4885-9DB3-230B420EA460}" uniqueName="8" name="BPCR Health Education" queryTableFieldId="8" dataDxfId="516"/>
    <tableColumn id="9" xr3:uid="{A964E5F6-3F63-42A4-9B62-CDD7BDF37CEC}" uniqueName="9" name="Planned Place of Birth" queryTableFieldId="9" dataDxfId="515"/>
    <tableColumn id="10" xr3:uid="{F48C66B6-E0B5-421E-BE65-4173EBD8CFD5}" uniqueName="10" name="Knowledge of Pregnancy Danger Signs" queryTableFieldId="10" dataDxfId="514"/>
    <tableColumn id="11" xr3:uid="{666C07C1-4788-4A47-9132-C43A3A4FFA45}" uniqueName="11" name="Knowledge of Labor Danger Signs" queryTableFieldId="11" dataDxfId="513"/>
    <tableColumn id="12" xr3:uid="{B307AC84-7972-4D61-9472-FD2A71B47211}" uniqueName="12" name="Knowledge of Postpartum Danger Signs" queryTableFieldId="12" dataDxfId="512"/>
    <tableColumn id="13" xr3:uid="{E2BE5E21-FC64-41B9-841A-77C83054E4BB}" uniqueName="13" name="Overall BPCR Knowledge" queryTableFieldId="13" dataDxfId="511"/>
    <tableColumn id="14" xr3:uid="{2902DD8F-ABB0-4354-B6BA-15E7D899D73D}" uniqueName="14" name="Overall BPCR Practice" queryTableFieldId="14" dataDxfId="510"/>
  </tableColumns>
  <tableStyleInfo name="TableStyleMedium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FD2F3-6CE3-4A2E-B666-E289629BEA17}">
  <dimension ref="A1:N301"/>
  <sheetViews>
    <sheetView tabSelected="1" topLeftCell="J1" workbookViewId="0">
      <selection sqref="A1:N1"/>
    </sheetView>
  </sheetViews>
  <sheetFormatPr defaultRowHeight="14.5" x14ac:dyDescent="0.35"/>
  <cols>
    <col min="1" max="1" width="15.54296875" bestFit="1" customWidth="1"/>
    <col min="2" max="2" width="11.453125" customWidth="1"/>
    <col min="3" max="3" width="14.90625" bestFit="1" customWidth="1"/>
    <col min="4" max="4" width="18.36328125" bestFit="1" customWidth="1"/>
    <col min="5" max="5" width="10.08984375" bestFit="1" customWidth="1"/>
    <col min="6" max="6" width="19.26953125" bestFit="1" customWidth="1"/>
    <col min="7" max="7" width="25.81640625" bestFit="1" customWidth="1"/>
    <col min="8" max="8" width="22.453125" bestFit="1" customWidth="1"/>
    <col min="9" max="9" width="21.6328125" bestFit="1" customWidth="1"/>
    <col min="10" max="10" width="35.08984375" bestFit="1" customWidth="1"/>
    <col min="11" max="11" width="31.08984375" bestFit="1" customWidth="1"/>
    <col min="12" max="12" width="36.54296875" bestFit="1" customWidth="1"/>
    <col min="13" max="13" width="23.7265625" bestFit="1" customWidth="1"/>
    <col min="14" max="14" width="21.08984375" bestFit="1" customWidth="1"/>
  </cols>
  <sheetData>
    <row r="1" spans="1:14" x14ac:dyDescent="0.35">
      <c r="A1" t="s">
        <v>18</v>
      </c>
      <c r="B1" t="s">
        <v>0</v>
      </c>
      <c r="C1" t="s">
        <v>19</v>
      </c>
      <c r="D1" t="s">
        <v>20</v>
      </c>
      <c r="E1" t="s">
        <v>1</v>
      </c>
      <c r="F1" t="s">
        <v>21</v>
      </c>
      <c r="G1" t="s">
        <v>22</v>
      </c>
      <c r="H1" t="s">
        <v>23</v>
      </c>
      <c r="I1" t="s">
        <v>24</v>
      </c>
      <c r="J1" t="s">
        <v>25</v>
      </c>
      <c r="K1" t="s">
        <v>26</v>
      </c>
      <c r="L1" t="s">
        <v>27</v>
      </c>
      <c r="M1" t="s">
        <v>28</v>
      </c>
      <c r="N1" t="s">
        <v>29</v>
      </c>
    </row>
    <row r="2" spans="1:14" x14ac:dyDescent="0.35">
      <c r="A2">
        <v>1</v>
      </c>
      <c r="B2">
        <v>33</v>
      </c>
      <c r="C2" t="s">
        <v>2</v>
      </c>
      <c r="D2" t="s">
        <v>3</v>
      </c>
      <c r="E2" s="1">
        <v>250</v>
      </c>
      <c r="F2" t="s">
        <v>6</v>
      </c>
      <c r="G2" t="s">
        <v>30</v>
      </c>
      <c r="H2" t="s">
        <v>30</v>
      </c>
      <c r="I2" t="s">
        <v>7</v>
      </c>
      <c r="J2" t="s">
        <v>8</v>
      </c>
      <c r="K2" t="s">
        <v>9</v>
      </c>
      <c r="L2" t="s">
        <v>8</v>
      </c>
      <c r="M2" t="s">
        <v>9</v>
      </c>
      <c r="N2" t="s">
        <v>10</v>
      </c>
    </row>
    <row r="3" spans="1:14" x14ac:dyDescent="0.35">
      <c r="A3">
        <v>2</v>
      </c>
      <c r="B3">
        <v>37</v>
      </c>
      <c r="C3" t="s">
        <v>2</v>
      </c>
      <c r="D3" t="s">
        <v>3</v>
      </c>
      <c r="E3" s="1">
        <v>350</v>
      </c>
      <c r="F3" t="s">
        <v>6</v>
      </c>
      <c r="G3" t="s">
        <v>30</v>
      </c>
      <c r="H3" t="s">
        <v>30</v>
      </c>
      <c r="I3" t="s">
        <v>7</v>
      </c>
      <c r="J3" t="s">
        <v>9</v>
      </c>
      <c r="K3" t="s">
        <v>8</v>
      </c>
      <c r="L3" t="s">
        <v>8</v>
      </c>
      <c r="M3" t="s">
        <v>9</v>
      </c>
      <c r="N3" t="s">
        <v>10</v>
      </c>
    </row>
    <row r="4" spans="1:14" x14ac:dyDescent="0.35">
      <c r="A4">
        <v>3</v>
      </c>
      <c r="B4">
        <v>33</v>
      </c>
      <c r="C4" t="s">
        <v>2</v>
      </c>
      <c r="D4" t="s">
        <v>11</v>
      </c>
      <c r="E4" s="1">
        <v>350</v>
      </c>
      <c r="F4" t="s">
        <v>6</v>
      </c>
      <c r="G4" t="s">
        <v>30</v>
      </c>
      <c r="H4" t="s">
        <v>30</v>
      </c>
      <c r="I4" t="s">
        <v>7</v>
      </c>
      <c r="J4" t="s">
        <v>8</v>
      </c>
      <c r="K4" t="s">
        <v>9</v>
      </c>
      <c r="L4" t="s">
        <v>8</v>
      </c>
      <c r="M4" t="s">
        <v>9</v>
      </c>
      <c r="N4" t="s">
        <v>10</v>
      </c>
    </row>
    <row r="5" spans="1:14" x14ac:dyDescent="0.35">
      <c r="A5">
        <v>4</v>
      </c>
      <c r="B5">
        <v>24</v>
      </c>
      <c r="C5" t="s">
        <v>2</v>
      </c>
      <c r="D5" t="s">
        <v>12</v>
      </c>
      <c r="E5" s="1">
        <v>350</v>
      </c>
      <c r="F5" t="s">
        <v>5</v>
      </c>
      <c r="G5" t="s">
        <v>5</v>
      </c>
      <c r="H5" t="s">
        <v>5</v>
      </c>
      <c r="I5" t="s">
        <v>7</v>
      </c>
      <c r="J5" t="s">
        <v>8</v>
      </c>
      <c r="K5" t="s">
        <v>9</v>
      </c>
      <c r="L5" t="s">
        <v>8</v>
      </c>
      <c r="M5" t="s">
        <v>8</v>
      </c>
      <c r="N5" t="s">
        <v>13</v>
      </c>
    </row>
    <row r="6" spans="1:14" x14ac:dyDescent="0.35">
      <c r="A6">
        <v>5</v>
      </c>
      <c r="B6">
        <v>24</v>
      </c>
      <c r="C6" t="s">
        <v>2</v>
      </c>
      <c r="D6" t="s">
        <v>11</v>
      </c>
      <c r="E6" s="1">
        <v>500</v>
      </c>
      <c r="F6" t="s">
        <v>5</v>
      </c>
      <c r="G6" t="s">
        <v>5</v>
      </c>
      <c r="H6" t="s">
        <v>5</v>
      </c>
      <c r="I6" t="s">
        <v>7</v>
      </c>
      <c r="J6" t="s">
        <v>8</v>
      </c>
      <c r="K6" t="s">
        <v>8</v>
      </c>
      <c r="L6" t="s">
        <v>8</v>
      </c>
      <c r="M6" t="s">
        <v>8</v>
      </c>
      <c r="N6" t="s">
        <v>13</v>
      </c>
    </row>
    <row r="7" spans="1:14" x14ac:dyDescent="0.35">
      <c r="A7">
        <v>6</v>
      </c>
      <c r="B7">
        <v>30</v>
      </c>
      <c r="C7" t="s">
        <v>2</v>
      </c>
      <c r="D7" t="s">
        <v>11</v>
      </c>
      <c r="E7" s="1">
        <v>300</v>
      </c>
      <c r="F7" t="s">
        <v>6</v>
      </c>
      <c r="G7" t="s">
        <v>30</v>
      </c>
      <c r="H7" t="s">
        <v>30</v>
      </c>
      <c r="I7" t="s">
        <v>14</v>
      </c>
      <c r="J7" t="s">
        <v>9</v>
      </c>
      <c r="K7" t="s">
        <v>9</v>
      </c>
      <c r="L7" t="s">
        <v>9</v>
      </c>
      <c r="M7" t="s">
        <v>9</v>
      </c>
      <c r="N7" t="s">
        <v>10</v>
      </c>
    </row>
    <row r="8" spans="1:14" x14ac:dyDescent="0.35">
      <c r="A8">
        <v>7</v>
      </c>
      <c r="B8">
        <v>43</v>
      </c>
      <c r="C8" t="s">
        <v>2</v>
      </c>
      <c r="D8" t="s">
        <v>12</v>
      </c>
      <c r="E8" s="1">
        <v>400</v>
      </c>
      <c r="F8" t="s">
        <v>6</v>
      </c>
      <c r="G8" t="s">
        <v>30</v>
      </c>
      <c r="H8" t="s">
        <v>30</v>
      </c>
      <c r="I8" t="s">
        <v>14</v>
      </c>
      <c r="J8" t="s">
        <v>9</v>
      </c>
      <c r="K8" t="s">
        <v>9</v>
      </c>
      <c r="L8" t="s">
        <v>8</v>
      </c>
      <c r="M8" t="s">
        <v>9</v>
      </c>
      <c r="N8" t="s">
        <v>10</v>
      </c>
    </row>
    <row r="9" spans="1:14" x14ac:dyDescent="0.35">
      <c r="A9">
        <v>8</v>
      </c>
      <c r="B9">
        <v>34</v>
      </c>
      <c r="C9" t="s">
        <v>2</v>
      </c>
      <c r="D9" t="s">
        <v>3</v>
      </c>
      <c r="E9" s="1">
        <v>300</v>
      </c>
      <c r="F9" t="s">
        <v>5</v>
      </c>
      <c r="G9" t="s">
        <v>5</v>
      </c>
      <c r="H9" t="s">
        <v>6</v>
      </c>
      <c r="I9" t="s">
        <v>7</v>
      </c>
      <c r="J9" t="s">
        <v>9</v>
      </c>
      <c r="K9" t="s">
        <v>9</v>
      </c>
      <c r="L9" t="s">
        <v>8</v>
      </c>
      <c r="M9" t="s">
        <v>8</v>
      </c>
      <c r="N9" t="s">
        <v>10</v>
      </c>
    </row>
    <row r="10" spans="1:14" x14ac:dyDescent="0.35">
      <c r="A10">
        <v>9</v>
      </c>
      <c r="B10">
        <v>35</v>
      </c>
      <c r="C10" t="s">
        <v>2</v>
      </c>
      <c r="D10" t="s">
        <v>15</v>
      </c>
      <c r="E10" s="1">
        <v>1000</v>
      </c>
      <c r="F10" t="s">
        <v>5</v>
      </c>
      <c r="G10" t="s">
        <v>5</v>
      </c>
      <c r="H10" t="s">
        <v>5</v>
      </c>
      <c r="I10" t="s">
        <v>7</v>
      </c>
      <c r="J10" t="s">
        <v>8</v>
      </c>
      <c r="K10" t="s">
        <v>8</v>
      </c>
      <c r="L10" t="s">
        <v>8</v>
      </c>
      <c r="M10" t="s">
        <v>8</v>
      </c>
      <c r="N10" t="s">
        <v>10</v>
      </c>
    </row>
    <row r="11" spans="1:14" x14ac:dyDescent="0.35">
      <c r="A11">
        <v>10</v>
      </c>
      <c r="B11">
        <v>30</v>
      </c>
      <c r="C11" t="s">
        <v>2</v>
      </c>
      <c r="D11" t="s">
        <v>15</v>
      </c>
      <c r="E11" s="1">
        <v>300</v>
      </c>
      <c r="F11" t="s">
        <v>5</v>
      </c>
      <c r="G11" t="s">
        <v>4</v>
      </c>
      <c r="H11" t="s">
        <v>6</v>
      </c>
      <c r="I11" t="s">
        <v>7</v>
      </c>
      <c r="J11" t="s">
        <v>9</v>
      </c>
      <c r="K11" t="s">
        <v>9</v>
      </c>
      <c r="L11" t="s">
        <v>8</v>
      </c>
      <c r="M11" t="s">
        <v>9</v>
      </c>
      <c r="N11" t="s">
        <v>10</v>
      </c>
    </row>
    <row r="12" spans="1:14" x14ac:dyDescent="0.35">
      <c r="A12">
        <v>11</v>
      </c>
      <c r="B12">
        <v>23</v>
      </c>
      <c r="C12" t="s">
        <v>2</v>
      </c>
      <c r="D12" t="s">
        <v>12</v>
      </c>
      <c r="E12" s="1">
        <v>300</v>
      </c>
      <c r="F12" t="s">
        <v>6</v>
      </c>
      <c r="G12" t="s">
        <v>30</v>
      </c>
      <c r="H12" t="s">
        <v>30</v>
      </c>
      <c r="I12" t="s">
        <v>14</v>
      </c>
      <c r="J12" t="s">
        <v>9</v>
      </c>
      <c r="K12" t="s">
        <v>9</v>
      </c>
      <c r="L12" t="s">
        <v>8</v>
      </c>
      <c r="M12" t="s">
        <v>9</v>
      </c>
      <c r="N12" t="s">
        <v>10</v>
      </c>
    </row>
    <row r="13" spans="1:14" x14ac:dyDescent="0.35">
      <c r="A13">
        <v>12</v>
      </c>
      <c r="B13">
        <v>27</v>
      </c>
      <c r="C13" t="s">
        <v>2</v>
      </c>
      <c r="D13" t="s">
        <v>15</v>
      </c>
      <c r="E13" s="1">
        <v>200</v>
      </c>
      <c r="F13" t="s">
        <v>5</v>
      </c>
      <c r="G13" t="s">
        <v>5</v>
      </c>
      <c r="H13" t="s">
        <v>6</v>
      </c>
      <c r="I13" t="s">
        <v>7</v>
      </c>
      <c r="J13" t="s">
        <v>8</v>
      </c>
      <c r="K13" t="s">
        <v>8</v>
      </c>
      <c r="L13" t="s">
        <v>8</v>
      </c>
      <c r="M13" t="s">
        <v>8</v>
      </c>
      <c r="N13" t="s">
        <v>10</v>
      </c>
    </row>
    <row r="14" spans="1:14" x14ac:dyDescent="0.35">
      <c r="A14">
        <v>13</v>
      </c>
      <c r="B14">
        <v>35</v>
      </c>
      <c r="C14" t="s">
        <v>2</v>
      </c>
      <c r="D14" t="s">
        <v>11</v>
      </c>
      <c r="E14" s="1">
        <v>700</v>
      </c>
      <c r="F14" t="s">
        <v>5</v>
      </c>
      <c r="G14" t="s">
        <v>5</v>
      </c>
      <c r="H14" t="s">
        <v>5</v>
      </c>
      <c r="I14" t="s">
        <v>7</v>
      </c>
      <c r="J14" t="s">
        <v>8</v>
      </c>
      <c r="K14" t="s">
        <v>9</v>
      </c>
      <c r="L14" t="s">
        <v>8</v>
      </c>
      <c r="M14" t="s">
        <v>8</v>
      </c>
      <c r="N14" t="s">
        <v>10</v>
      </c>
    </row>
    <row r="15" spans="1:14" x14ac:dyDescent="0.35">
      <c r="A15">
        <v>14</v>
      </c>
      <c r="B15">
        <v>32</v>
      </c>
      <c r="C15" t="s">
        <v>2</v>
      </c>
      <c r="D15" t="s">
        <v>3</v>
      </c>
      <c r="E15" s="1">
        <v>500</v>
      </c>
      <c r="F15" t="s">
        <v>5</v>
      </c>
      <c r="G15" t="s">
        <v>5</v>
      </c>
      <c r="H15" t="s">
        <v>5</v>
      </c>
      <c r="I15" t="s">
        <v>7</v>
      </c>
      <c r="J15" t="s">
        <v>8</v>
      </c>
      <c r="K15" t="s">
        <v>9</v>
      </c>
      <c r="L15" t="s">
        <v>8</v>
      </c>
      <c r="M15" t="s">
        <v>8</v>
      </c>
      <c r="N15" t="s">
        <v>10</v>
      </c>
    </row>
    <row r="16" spans="1:14" x14ac:dyDescent="0.35">
      <c r="A16">
        <v>15</v>
      </c>
      <c r="B16">
        <v>36</v>
      </c>
      <c r="C16" t="s">
        <v>2</v>
      </c>
      <c r="D16" t="s">
        <v>11</v>
      </c>
      <c r="E16" s="1">
        <v>500</v>
      </c>
      <c r="F16" t="s">
        <v>6</v>
      </c>
      <c r="G16" t="s">
        <v>30</v>
      </c>
      <c r="H16" t="s">
        <v>30</v>
      </c>
      <c r="I16" t="s">
        <v>7</v>
      </c>
      <c r="J16" t="s">
        <v>8</v>
      </c>
      <c r="K16" t="s">
        <v>8</v>
      </c>
      <c r="L16" t="s">
        <v>8</v>
      </c>
      <c r="M16" t="s">
        <v>8</v>
      </c>
      <c r="N16" t="s">
        <v>10</v>
      </c>
    </row>
    <row r="17" spans="1:14" x14ac:dyDescent="0.35">
      <c r="A17">
        <v>16</v>
      </c>
      <c r="B17">
        <v>24</v>
      </c>
      <c r="C17" t="s">
        <v>2</v>
      </c>
      <c r="D17" t="s">
        <v>15</v>
      </c>
      <c r="E17" s="1">
        <v>400</v>
      </c>
      <c r="F17" t="s">
        <v>5</v>
      </c>
      <c r="G17" t="s">
        <v>5</v>
      </c>
      <c r="H17" t="s">
        <v>5</v>
      </c>
      <c r="I17" t="s">
        <v>7</v>
      </c>
      <c r="J17" t="s">
        <v>8</v>
      </c>
      <c r="K17" t="s">
        <v>9</v>
      </c>
      <c r="L17" t="s">
        <v>8</v>
      </c>
      <c r="M17" t="s">
        <v>8</v>
      </c>
      <c r="N17" t="s">
        <v>10</v>
      </c>
    </row>
    <row r="18" spans="1:14" x14ac:dyDescent="0.35">
      <c r="A18">
        <v>17</v>
      </c>
      <c r="B18">
        <v>19</v>
      </c>
      <c r="C18" t="s">
        <v>2</v>
      </c>
      <c r="D18" t="s">
        <v>15</v>
      </c>
      <c r="E18" s="1">
        <v>1000</v>
      </c>
      <c r="F18" t="s">
        <v>5</v>
      </c>
      <c r="G18" t="s">
        <v>5</v>
      </c>
      <c r="H18" t="s">
        <v>5</v>
      </c>
      <c r="I18" t="s">
        <v>7</v>
      </c>
      <c r="J18" t="s">
        <v>8</v>
      </c>
      <c r="K18" t="s">
        <v>8</v>
      </c>
      <c r="L18" t="s">
        <v>8</v>
      </c>
      <c r="M18" t="s">
        <v>8</v>
      </c>
      <c r="N18" t="s">
        <v>10</v>
      </c>
    </row>
    <row r="19" spans="1:14" x14ac:dyDescent="0.35">
      <c r="A19">
        <v>18</v>
      </c>
      <c r="B19">
        <v>32</v>
      </c>
      <c r="C19" t="s">
        <v>2</v>
      </c>
      <c r="D19" t="s">
        <v>11</v>
      </c>
      <c r="E19" s="1">
        <v>800</v>
      </c>
      <c r="F19" t="s">
        <v>5</v>
      </c>
      <c r="G19" t="s">
        <v>5</v>
      </c>
      <c r="H19" t="s">
        <v>5</v>
      </c>
      <c r="I19" t="s">
        <v>7</v>
      </c>
      <c r="J19" t="s">
        <v>9</v>
      </c>
      <c r="K19" t="s">
        <v>8</v>
      </c>
      <c r="L19" t="s">
        <v>8</v>
      </c>
      <c r="M19" t="s">
        <v>9</v>
      </c>
      <c r="N19" t="s">
        <v>10</v>
      </c>
    </row>
    <row r="20" spans="1:14" x14ac:dyDescent="0.35">
      <c r="A20">
        <v>19</v>
      </c>
      <c r="B20">
        <v>25</v>
      </c>
      <c r="C20" t="s">
        <v>2</v>
      </c>
      <c r="D20" t="s">
        <v>12</v>
      </c>
      <c r="E20" s="1">
        <v>250</v>
      </c>
      <c r="F20" t="s">
        <v>5</v>
      </c>
      <c r="G20" t="s">
        <v>5</v>
      </c>
      <c r="H20" t="s">
        <v>6</v>
      </c>
      <c r="I20" t="s">
        <v>7</v>
      </c>
      <c r="J20" t="s">
        <v>9</v>
      </c>
      <c r="K20" t="s">
        <v>9</v>
      </c>
      <c r="L20" t="s">
        <v>8</v>
      </c>
      <c r="M20" t="s">
        <v>9</v>
      </c>
      <c r="N20" t="s">
        <v>10</v>
      </c>
    </row>
    <row r="21" spans="1:14" x14ac:dyDescent="0.35">
      <c r="A21">
        <v>20</v>
      </c>
      <c r="B21">
        <v>28</v>
      </c>
      <c r="C21" t="s">
        <v>2</v>
      </c>
      <c r="D21" t="s">
        <v>15</v>
      </c>
      <c r="E21" s="1">
        <v>300</v>
      </c>
      <c r="F21" t="s">
        <v>6</v>
      </c>
      <c r="G21" t="s">
        <v>30</v>
      </c>
      <c r="H21" t="s">
        <v>30</v>
      </c>
      <c r="I21" t="s">
        <v>7</v>
      </c>
      <c r="J21" t="s">
        <v>9</v>
      </c>
      <c r="K21" t="s">
        <v>8</v>
      </c>
      <c r="L21" t="s">
        <v>8</v>
      </c>
      <c r="M21" t="s">
        <v>8</v>
      </c>
      <c r="N21" t="s">
        <v>10</v>
      </c>
    </row>
    <row r="22" spans="1:14" x14ac:dyDescent="0.35">
      <c r="A22">
        <v>21</v>
      </c>
      <c r="B22">
        <v>28</v>
      </c>
      <c r="C22" t="s">
        <v>2</v>
      </c>
      <c r="D22" t="s">
        <v>12</v>
      </c>
      <c r="E22" s="1">
        <v>400</v>
      </c>
      <c r="F22" t="s">
        <v>5</v>
      </c>
      <c r="G22" t="s">
        <v>5</v>
      </c>
      <c r="H22" t="s">
        <v>6</v>
      </c>
      <c r="I22" t="s">
        <v>14</v>
      </c>
      <c r="J22" t="s">
        <v>9</v>
      </c>
      <c r="K22" t="s">
        <v>9</v>
      </c>
      <c r="L22" t="s">
        <v>8</v>
      </c>
      <c r="M22" t="s">
        <v>9</v>
      </c>
      <c r="N22" t="s">
        <v>10</v>
      </c>
    </row>
    <row r="23" spans="1:14" x14ac:dyDescent="0.35">
      <c r="A23">
        <v>22</v>
      </c>
      <c r="B23">
        <v>25</v>
      </c>
      <c r="C23" t="s">
        <v>2</v>
      </c>
      <c r="D23" t="s">
        <v>3</v>
      </c>
      <c r="E23" s="1">
        <v>300</v>
      </c>
      <c r="F23" t="s">
        <v>5</v>
      </c>
      <c r="G23" t="s">
        <v>4</v>
      </c>
      <c r="H23" t="s">
        <v>5</v>
      </c>
      <c r="I23" t="s">
        <v>7</v>
      </c>
      <c r="J23" t="s">
        <v>9</v>
      </c>
      <c r="K23" t="s">
        <v>9</v>
      </c>
      <c r="L23" t="s">
        <v>9</v>
      </c>
      <c r="M23" t="s">
        <v>9</v>
      </c>
      <c r="N23" t="s">
        <v>10</v>
      </c>
    </row>
    <row r="24" spans="1:14" x14ac:dyDescent="0.35">
      <c r="A24">
        <v>23</v>
      </c>
      <c r="B24">
        <v>25</v>
      </c>
      <c r="C24" t="s">
        <v>2</v>
      </c>
      <c r="D24" t="s">
        <v>11</v>
      </c>
      <c r="E24" s="1">
        <v>300</v>
      </c>
      <c r="F24" t="s">
        <v>5</v>
      </c>
      <c r="G24" t="s">
        <v>5</v>
      </c>
      <c r="H24" t="s">
        <v>5</v>
      </c>
      <c r="I24" t="s">
        <v>7</v>
      </c>
      <c r="J24" t="s">
        <v>9</v>
      </c>
      <c r="K24" t="s">
        <v>9</v>
      </c>
      <c r="L24" t="s">
        <v>8</v>
      </c>
      <c r="M24" t="s">
        <v>9</v>
      </c>
      <c r="N24" t="s">
        <v>10</v>
      </c>
    </row>
    <row r="25" spans="1:14" x14ac:dyDescent="0.35">
      <c r="A25">
        <v>24</v>
      </c>
      <c r="B25">
        <v>30</v>
      </c>
      <c r="C25" t="s">
        <v>2</v>
      </c>
      <c r="D25" t="s">
        <v>12</v>
      </c>
      <c r="E25" s="1">
        <v>450</v>
      </c>
      <c r="F25" t="s">
        <v>5</v>
      </c>
      <c r="G25" t="s">
        <v>4</v>
      </c>
      <c r="H25" t="s">
        <v>6</v>
      </c>
      <c r="I25" t="s">
        <v>7</v>
      </c>
      <c r="J25" t="s">
        <v>9</v>
      </c>
      <c r="K25" t="s">
        <v>9</v>
      </c>
      <c r="L25" t="s">
        <v>9</v>
      </c>
      <c r="M25" t="s">
        <v>9</v>
      </c>
      <c r="N25" t="s">
        <v>10</v>
      </c>
    </row>
    <row r="26" spans="1:14" x14ac:dyDescent="0.35">
      <c r="A26">
        <v>25</v>
      </c>
      <c r="B26">
        <v>28</v>
      </c>
      <c r="C26" t="s">
        <v>2</v>
      </c>
      <c r="D26" t="s">
        <v>3</v>
      </c>
      <c r="E26" s="1">
        <v>250</v>
      </c>
      <c r="F26" t="s">
        <v>6</v>
      </c>
      <c r="G26" t="s">
        <v>30</v>
      </c>
      <c r="H26" t="s">
        <v>30</v>
      </c>
      <c r="I26" t="s">
        <v>7</v>
      </c>
      <c r="J26" t="s">
        <v>9</v>
      </c>
      <c r="K26" t="s">
        <v>9</v>
      </c>
      <c r="L26" t="s">
        <v>9</v>
      </c>
      <c r="M26" t="s">
        <v>9</v>
      </c>
      <c r="N26" t="s">
        <v>10</v>
      </c>
    </row>
    <row r="27" spans="1:14" x14ac:dyDescent="0.35">
      <c r="A27">
        <v>26</v>
      </c>
      <c r="B27">
        <v>29</v>
      </c>
      <c r="C27" t="s">
        <v>2</v>
      </c>
      <c r="D27" t="s">
        <v>3</v>
      </c>
      <c r="E27" s="1">
        <v>400</v>
      </c>
      <c r="F27" t="s">
        <v>6</v>
      </c>
      <c r="G27" t="s">
        <v>30</v>
      </c>
      <c r="H27" t="s">
        <v>30</v>
      </c>
      <c r="I27" t="s">
        <v>7</v>
      </c>
      <c r="J27" t="s">
        <v>9</v>
      </c>
      <c r="K27" t="s">
        <v>9</v>
      </c>
      <c r="L27" t="s">
        <v>9</v>
      </c>
      <c r="M27" t="s">
        <v>9</v>
      </c>
      <c r="N27" t="s">
        <v>10</v>
      </c>
    </row>
    <row r="28" spans="1:14" x14ac:dyDescent="0.35">
      <c r="A28">
        <v>27</v>
      </c>
      <c r="B28">
        <v>35</v>
      </c>
      <c r="C28" t="s">
        <v>2</v>
      </c>
      <c r="D28" t="s">
        <v>15</v>
      </c>
      <c r="E28" s="1">
        <v>800</v>
      </c>
      <c r="F28" t="s">
        <v>5</v>
      </c>
      <c r="G28" t="s">
        <v>5</v>
      </c>
      <c r="H28" t="s">
        <v>5</v>
      </c>
      <c r="I28" t="s">
        <v>7</v>
      </c>
      <c r="J28" t="s">
        <v>8</v>
      </c>
      <c r="K28" t="s">
        <v>8</v>
      </c>
      <c r="L28" t="s">
        <v>8</v>
      </c>
      <c r="M28" t="s">
        <v>8</v>
      </c>
      <c r="N28" t="s">
        <v>10</v>
      </c>
    </row>
    <row r="29" spans="1:14" x14ac:dyDescent="0.35">
      <c r="A29">
        <v>28</v>
      </c>
      <c r="B29">
        <v>35</v>
      </c>
      <c r="C29" t="s">
        <v>2</v>
      </c>
      <c r="D29" t="s">
        <v>11</v>
      </c>
      <c r="E29" s="1">
        <v>2000</v>
      </c>
      <c r="F29" t="s">
        <v>5</v>
      </c>
      <c r="G29" t="s">
        <v>5</v>
      </c>
      <c r="H29" t="s">
        <v>5</v>
      </c>
      <c r="I29" t="s">
        <v>7</v>
      </c>
      <c r="J29" t="s">
        <v>8</v>
      </c>
      <c r="K29" t="s">
        <v>8</v>
      </c>
      <c r="L29" t="s">
        <v>8</v>
      </c>
      <c r="M29" t="s">
        <v>8</v>
      </c>
      <c r="N29" t="s">
        <v>10</v>
      </c>
    </row>
    <row r="30" spans="1:14" x14ac:dyDescent="0.35">
      <c r="A30">
        <v>29</v>
      </c>
      <c r="B30">
        <v>28</v>
      </c>
      <c r="C30" t="s">
        <v>2</v>
      </c>
      <c r="D30" t="s">
        <v>12</v>
      </c>
      <c r="E30" s="1">
        <v>300</v>
      </c>
      <c r="F30" t="s">
        <v>5</v>
      </c>
      <c r="G30" t="s">
        <v>5</v>
      </c>
      <c r="H30" t="s">
        <v>5</v>
      </c>
      <c r="I30" t="s">
        <v>7</v>
      </c>
      <c r="J30" t="s">
        <v>9</v>
      </c>
      <c r="K30" t="s">
        <v>9</v>
      </c>
      <c r="L30" t="s">
        <v>8</v>
      </c>
      <c r="M30" t="s">
        <v>9</v>
      </c>
      <c r="N30" t="s">
        <v>10</v>
      </c>
    </row>
    <row r="31" spans="1:14" x14ac:dyDescent="0.35">
      <c r="A31">
        <v>30</v>
      </c>
      <c r="B31">
        <v>30</v>
      </c>
      <c r="C31" t="s">
        <v>2</v>
      </c>
      <c r="D31" t="s">
        <v>3</v>
      </c>
      <c r="E31" s="1">
        <v>500</v>
      </c>
      <c r="F31" t="s">
        <v>6</v>
      </c>
      <c r="G31" t="s">
        <v>30</v>
      </c>
      <c r="H31" t="s">
        <v>30</v>
      </c>
      <c r="I31" t="s">
        <v>14</v>
      </c>
      <c r="J31" t="s">
        <v>9</v>
      </c>
      <c r="K31" t="s">
        <v>9</v>
      </c>
      <c r="L31" t="s">
        <v>9</v>
      </c>
      <c r="M31" t="s">
        <v>9</v>
      </c>
      <c r="N31" t="s">
        <v>10</v>
      </c>
    </row>
    <row r="32" spans="1:14" x14ac:dyDescent="0.35">
      <c r="A32">
        <v>31</v>
      </c>
      <c r="B32">
        <v>19</v>
      </c>
      <c r="C32" t="s">
        <v>2</v>
      </c>
      <c r="D32" t="s">
        <v>12</v>
      </c>
      <c r="E32" s="1">
        <v>450</v>
      </c>
      <c r="F32" t="s">
        <v>6</v>
      </c>
      <c r="G32" t="s">
        <v>30</v>
      </c>
      <c r="H32" t="s">
        <v>30</v>
      </c>
      <c r="I32" t="s">
        <v>7</v>
      </c>
      <c r="J32" t="s">
        <v>9</v>
      </c>
      <c r="K32" t="s">
        <v>8</v>
      </c>
      <c r="L32" t="s">
        <v>8</v>
      </c>
      <c r="M32" t="s">
        <v>9</v>
      </c>
      <c r="N32" t="s">
        <v>10</v>
      </c>
    </row>
    <row r="33" spans="1:14" x14ac:dyDescent="0.35">
      <c r="A33">
        <v>32</v>
      </c>
      <c r="B33">
        <v>37</v>
      </c>
      <c r="C33" t="s">
        <v>2</v>
      </c>
      <c r="D33" t="s">
        <v>3</v>
      </c>
      <c r="E33" s="1">
        <v>300</v>
      </c>
      <c r="F33" t="s">
        <v>6</v>
      </c>
      <c r="G33" t="s">
        <v>30</v>
      </c>
      <c r="H33" t="s">
        <v>30</v>
      </c>
      <c r="I33" t="s">
        <v>14</v>
      </c>
      <c r="J33" t="s">
        <v>9</v>
      </c>
      <c r="K33" t="s">
        <v>9</v>
      </c>
      <c r="L33" t="s">
        <v>9</v>
      </c>
      <c r="M33" t="s">
        <v>8</v>
      </c>
      <c r="N33" t="s">
        <v>10</v>
      </c>
    </row>
    <row r="34" spans="1:14" x14ac:dyDescent="0.35">
      <c r="A34">
        <v>33</v>
      </c>
      <c r="B34">
        <v>33</v>
      </c>
      <c r="C34" t="s">
        <v>2</v>
      </c>
      <c r="D34" t="s">
        <v>15</v>
      </c>
      <c r="E34" s="1">
        <v>300</v>
      </c>
      <c r="F34" t="s">
        <v>5</v>
      </c>
      <c r="G34" t="s">
        <v>5</v>
      </c>
      <c r="H34" t="s">
        <v>5</v>
      </c>
      <c r="I34" t="s">
        <v>7</v>
      </c>
      <c r="J34" t="s">
        <v>9</v>
      </c>
      <c r="K34" t="s">
        <v>8</v>
      </c>
      <c r="L34" t="s">
        <v>8</v>
      </c>
      <c r="M34" t="s">
        <v>9</v>
      </c>
      <c r="N34" t="s">
        <v>10</v>
      </c>
    </row>
    <row r="35" spans="1:14" x14ac:dyDescent="0.35">
      <c r="A35">
        <v>34</v>
      </c>
      <c r="B35">
        <v>29</v>
      </c>
      <c r="C35" t="s">
        <v>2</v>
      </c>
      <c r="D35" t="s">
        <v>11</v>
      </c>
      <c r="E35" s="1">
        <v>400</v>
      </c>
      <c r="F35" t="s">
        <v>5</v>
      </c>
      <c r="G35" t="s">
        <v>5</v>
      </c>
      <c r="H35" t="s">
        <v>5</v>
      </c>
      <c r="I35" t="s">
        <v>7</v>
      </c>
      <c r="J35" t="s">
        <v>8</v>
      </c>
      <c r="K35" t="s">
        <v>8</v>
      </c>
      <c r="L35" t="s">
        <v>8</v>
      </c>
      <c r="M35" t="s">
        <v>8</v>
      </c>
      <c r="N35" t="s">
        <v>10</v>
      </c>
    </row>
    <row r="36" spans="1:14" x14ac:dyDescent="0.35">
      <c r="A36">
        <v>35</v>
      </c>
      <c r="B36">
        <v>27</v>
      </c>
      <c r="C36" t="s">
        <v>2</v>
      </c>
      <c r="D36" t="s">
        <v>3</v>
      </c>
      <c r="E36" s="1">
        <v>300</v>
      </c>
      <c r="F36" t="s">
        <v>6</v>
      </c>
      <c r="G36" t="s">
        <v>30</v>
      </c>
      <c r="H36" t="s">
        <v>30</v>
      </c>
      <c r="I36" t="s">
        <v>14</v>
      </c>
      <c r="J36" t="s">
        <v>9</v>
      </c>
      <c r="K36" t="s">
        <v>9</v>
      </c>
      <c r="L36" t="s">
        <v>9</v>
      </c>
      <c r="M36" t="s">
        <v>9</v>
      </c>
      <c r="N36" t="s">
        <v>10</v>
      </c>
    </row>
    <row r="37" spans="1:14" x14ac:dyDescent="0.35">
      <c r="A37">
        <v>36</v>
      </c>
      <c r="B37">
        <v>36</v>
      </c>
      <c r="C37" t="s">
        <v>2</v>
      </c>
      <c r="D37" t="s">
        <v>15</v>
      </c>
      <c r="E37" s="1">
        <v>300</v>
      </c>
      <c r="F37" t="s">
        <v>5</v>
      </c>
      <c r="G37" t="s">
        <v>4</v>
      </c>
      <c r="H37" t="s">
        <v>6</v>
      </c>
      <c r="I37" t="s">
        <v>14</v>
      </c>
      <c r="J37" t="s">
        <v>9</v>
      </c>
      <c r="K37" t="s">
        <v>9</v>
      </c>
      <c r="L37" t="s">
        <v>8</v>
      </c>
      <c r="M37" t="s">
        <v>9</v>
      </c>
      <c r="N37" t="s">
        <v>10</v>
      </c>
    </row>
    <row r="38" spans="1:14" x14ac:dyDescent="0.35">
      <c r="A38">
        <v>37</v>
      </c>
      <c r="B38">
        <v>35</v>
      </c>
      <c r="C38" t="s">
        <v>2</v>
      </c>
      <c r="D38" t="s">
        <v>11</v>
      </c>
      <c r="E38" s="1">
        <v>850</v>
      </c>
      <c r="F38" t="s">
        <v>5</v>
      </c>
      <c r="G38" t="s">
        <v>4</v>
      </c>
      <c r="H38" t="s">
        <v>6</v>
      </c>
      <c r="I38" t="s">
        <v>7</v>
      </c>
      <c r="J38" t="s">
        <v>9</v>
      </c>
      <c r="K38" t="s">
        <v>8</v>
      </c>
      <c r="L38" t="s">
        <v>8</v>
      </c>
      <c r="M38" t="s">
        <v>9</v>
      </c>
      <c r="N38" t="s">
        <v>10</v>
      </c>
    </row>
    <row r="39" spans="1:14" x14ac:dyDescent="0.35">
      <c r="A39">
        <v>38</v>
      </c>
      <c r="B39">
        <v>35</v>
      </c>
      <c r="C39" t="s">
        <v>2</v>
      </c>
      <c r="D39" t="s">
        <v>12</v>
      </c>
      <c r="E39" s="1">
        <v>500</v>
      </c>
      <c r="F39" t="s">
        <v>5</v>
      </c>
      <c r="G39" t="s">
        <v>5</v>
      </c>
      <c r="H39" t="s">
        <v>5</v>
      </c>
      <c r="I39" t="s">
        <v>7</v>
      </c>
      <c r="J39" t="s">
        <v>8</v>
      </c>
      <c r="K39" t="s">
        <v>8</v>
      </c>
      <c r="L39" t="s">
        <v>8</v>
      </c>
      <c r="M39" t="s">
        <v>8</v>
      </c>
      <c r="N39" t="s">
        <v>10</v>
      </c>
    </row>
    <row r="40" spans="1:14" x14ac:dyDescent="0.35">
      <c r="A40">
        <v>39</v>
      </c>
      <c r="B40">
        <v>28</v>
      </c>
      <c r="C40" t="s">
        <v>2</v>
      </c>
      <c r="D40" t="s">
        <v>11</v>
      </c>
      <c r="E40" s="1">
        <v>800</v>
      </c>
      <c r="F40" t="s">
        <v>5</v>
      </c>
      <c r="G40" t="s">
        <v>4</v>
      </c>
      <c r="H40" t="s">
        <v>6</v>
      </c>
      <c r="I40" t="s">
        <v>7</v>
      </c>
      <c r="J40" t="s">
        <v>9</v>
      </c>
      <c r="K40" t="s">
        <v>9</v>
      </c>
      <c r="L40" t="s">
        <v>9</v>
      </c>
      <c r="M40" t="s">
        <v>9</v>
      </c>
      <c r="N40" t="s">
        <v>10</v>
      </c>
    </row>
    <row r="41" spans="1:14" x14ac:dyDescent="0.35">
      <c r="A41">
        <v>40</v>
      </c>
      <c r="B41">
        <v>38</v>
      </c>
      <c r="C41" t="s">
        <v>2</v>
      </c>
      <c r="D41" t="s">
        <v>12</v>
      </c>
      <c r="E41" s="1">
        <v>350</v>
      </c>
      <c r="F41" t="s">
        <v>5</v>
      </c>
      <c r="G41" t="s">
        <v>4</v>
      </c>
      <c r="H41" t="s">
        <v>6</v>
      </c>
      <c r="I41" t="s">
        <v>7</v>
      </c>
      <c r="J41" t="s">
        <v>8</v>
      </c>
      <c r="K41" t="s">
        <v>9</v>
      </c>
      <c r="L41" t="s">
        <v>9</v>
      </c>
      <c r="M41" t="s">
        <v>9</v>
      </c>
      <c r="N41" t="s">
        <v>10</v>
      </c>
    </row>
    <row r="42" spans="1:14" x14ac:dyDescent="0.35">
      <c r="A42">
        <v>41</v>
      </c>
      <c r="B42">
        <v>28</v>
      </c>
      <c r="C42" t="s">
        <v>2</v>
      </c>
      <c r="D42" t="s">
        <v>15</v>
      </c>
      <c r="E42" s="1">
        <v>250</v>
      </c>
      <c r="F42" t="s">
        <v>5</v>
      </c>
      <c r="G42" t="s">
        <v>4</v>
      </c>
      <c r="H42" t="s">
        <v>6</v>
      </c>
      <c r="I42" t="s">
        <v>14</v>
      </c>
      <c r="J42" t="s">
        <v>9</v>
      </c>
      <c r="K42" t="s">
        <v>9</v>
      </c>
      <c r="L42" t="s">
        <v>8</v>
      </c>
      <c r="M42" t="s">
        <v>8</v>
      </c>
      <c r="N42" t="s">
        <v>10</v>
      </c>
    </row>
    <row r="43" spans="1:14" x14ac:dyDescent="0.35">
      <c r="A43">
        <v>42</v>
      </c>
      <c r="B43">
        <v>42</v>
      </c>
      <c r="C43" t="s">
        <v>2</v>
      </c>
      <c r="D43" t="s">
        <v>15</v>
      </c>
      <c r="E43" s="1">
        <v>300</v>
      </c>
      <c r="F43" t="s">
        <v>6</v>
      </c>
      <c r="G43" t="s">
        <v>30</v>
      </c>
      <c r="H43" t="s">
        <v>30</v>
      </c>
      <c r="I43" t="s">
        <v>7</v>
      </c>
      <c r="J43" t="s">
        <v>9</v>
      </c>
      <c r="K43" t="s">
        <v>8</v>
      </c>
      <c r="L43" t="s">
        <v>8</v>
      </c>
      <c r="M43" t="s">
        <v>9</v>
      </c>
      <c r="N43" t="s">
        <v>10</v>
      </c>
    </row>
    <row r="44" spans="1:14" x14ac:dyDescent="0.35">
      <c r="A44">
        <v>43</v>
      </c>
      <c r="B44">
        <v>30</v>
      </c>
      <c r="C44" t="s">
        <v>2</v>
      </c>
      <c r="D44" t="s">
        <v>3</v>
      </c>
      <c r="E44" s="1">
        <v>250</v>
      </c>
      <c r="F44" t="s">
        <v>5</v>
      </c>
      <c r="G44" t="s">
        <v>4</v>
      </c>
      <c r="H44" t="s">
        <v>6</v>
      </c>
      <c r="I44" t="s">
        <v>14</v>
      </c>
      <c r="J44" t="s">
        <v>9</v>
      </c>
      <c r="K44" t="s">
        <v>9</v>
      </c>
      <c r="L44" t="s">
        <v>9</v>
      </c>
      <c r="M44" t="s">
        <v>9</v>
      </c>
      <c r="N44" t="s">
        <v>10</v>
      </c>
    </row>
    <row r="45" spans="1:14" x14ac:dyDescent="0.35">
      <c r="A45">
        <v>44</v>
      </c>
      <c r="B45">
        <v>20</v>
      </c>
      <c r="C45" t="s">
        <v>2</v>
      </c>
      <c r="D45" t="s">
        <v>12</v>
      </c>
      <c r="E45" s="1">
        <v>200</v>
      </c>
      <c r="F45" t="s">
        <v>5</v>
      </c>
      <c r="G45" t="s">
        <v>5</v>
      </c>
      <c r="H45" t="s">
        <v>6</v>
      </c>
      <c r="I45" t="s">
        <v>14</v>
      </c>
      <c r="J45" t="s">
        <v>9</v>
      </c>
      <c r="K45" t="s">
        <v>9</v>
      </c>
      <c r="L45" t="s">
        <v>9</v>
      </c>
      <c r="M45" t="s">
        <v>9</v>
      </c>
      <c r="N45" t="s">
        <v>10</v>
      </c>
    </row>
    <row r="46" spans="1:14" x14ac:dyDescent="0.35">
      <c r="A46">
        <v>45</v>
      </c>
      <c r="B46">
        <v>34</v>
      </c>
      <c r="C46" t="s">
        <v>2</v>
      </c>
      <c r="D46" t="s">
        <v>11</v>
      </c>
      <c r="E46" s="1">
        <v>300</v>
      </c>
      <c r="F46" t="s">
        <v>5</v>
      </c>
      <c r="G46" t="s">
        <v>4</v>
      </c>
      <c r="H46" t="s">
        <v>6</v>
      </c>
      <c r="I46" t="s">
        <v>7</v>
      </c>
      <c r="J46" t="s">
        <v>9</v>
      </c>
      <c r="K46" t="s">
        <v>8</v>
      </c>
      <c r="L46" t="s">
        <v>8</v>
      </c>
      <c r="M46" t="s">
        <v>8</v>
      </c>
      <c r="N46" t="s">
        <v>10</v>
      </c>
    </row>
    <row r="47" spans="1:14" x14ac:dyDescent="0.35">
      <c r="A47">
        <v>46</v>
      </c>
      <c r="B47">
        <v>28</v>
      </c>
      <c r="C47" t="s">
        <v>2</v>
      </c>
      <c r="D47" t="s">
        <v>12</v>
      </c>
      <c r="E47" s="1">
        <v>250</v>
      </c>
      <c r="F47" t="s">
        <v>6</v>
      </c>
      <c r="G47" t="s">
        <v>30</v>
      </c>
      <c r="H47" t="s">
        <v>30</v>
      </c>
      <c r="I47" t="s">
        <v>14</v>
      </c>
      <c r="J47" t="s">
        <v>9</v>
      </c>
      <c r="K47" t="s">
        <v>8</v>
      </c>
      <c r="L47" t="s">
        <v>8</v>
      </c>
      <c r="M47" t="s">
        <v>9</v>
      </c>
      <c r="N47" t="s">
        <v>10</v>
      </c>
    </row>
    <row r="48" spans="1:14" x14ac:dyDescent="0.35">
      <c r="A48">
        <v>47</v>
      </c>
      <c r="B48">
        <v>32</v>
      </c>
      <c r="C48" t="s">
        <v>2</v>
      </c>
      <c r="D48" t="s">
        <v>11</v>
      </c>
      <c r="E48" s="1">
        <v>300</v>
      </c>
      <c r="F48" t="s">
        <v>5</v>
      </c>
      <c r="G48" t="s">
        <v>5</v>
      </c>
      <c r="H48" t="s">
        <v>5</v>
      </c>
      <c r="I48" t="s">
        <v>7</v>
      </c>
      <c r="J48" t="s">
        <v>9</v>
      </c>
      <c r="K48" t="s">
        <v>9</v>
      </c>
      <c r="L48" t="s">
        <v>9</v>
      </c>
      <c r="M48" t="s">
        <v>9</v>
      </c>
      <c r="N48" t="s">
        <v>10</v>
      </c>
    </row>
    <row r="49" spans="1:14" x14ac:dyDescent="0.35">
      <c r="A49">
        <v>48</v>
      </c>
      <c r="B49">
        <v>36</v>
      </c>
      <c r="C49" t="s">
        <v>2</v>
      </c>
      <c r="D49" t="s">
        <v>12</v>
      </c>
      <c r="E49" s="1">
        <v>300</v>
      </c>
      <c r="F49" t="s">
        <v>5</v>
      </c>
      <c r="G49" t="s">
        <v>5</v>
      </c>
      <c r="H49" t="s">
        <v>6</v>
      </c>
      <c r="I49" t="s">
        <v>14</v>
      </c>
      <c r="J49" t="s">
        <v>9</v>
      </c>
      <c r="K49" t="s">
        <v>9</v>
      </c>
      <c r="L49" t="s">
        <v>9</v>
      </c>
      <c r="M49" t="s">
        <v>9</v>
      </c>
      <c r="N49" t="s">
        <v>10</v>
      </c>
    </row>
    <row r="50" spans="1:14" x14ac:dyDescent="0.35">
      <c r="A50">
        <v>49</v>
      </c>
      <c r="B50">
        <v>22</v>
      </c>
      <c r="C50" t="s">
        <v>2</v>
      </c>
      <c r="D50" t="s">
        <v>12</v>
      </c>
      <c r="E50" s="1">
        <v>300</v>
      </c>
      <c r="F50" t="s">
        <v>5</v>
      </c>
      <c r="G50" t="s">
        <v>4</v>
      </c>
      <c r="H50" t="s">
        <v>5</v>
      </c>
      <c r="I50" t="s">
        <v>14</v>
      </c>
      <c r="J50" t="s">
        <v>9</v>
      </c>
      <c r="K50" t="s">
        <v>9</v>
      </c>
      <c r="L50" t="s">
        <v>8</v>
      </c>
      <c r="M50" t="s">
        <v>9</v>
      </c>
      <c r="N50" t="s">
        <v>10</v>
      </c>
    </row>
    <row r="51" spans="1:14" x14ac:dyDescent="0.35">
      <c r="A51">
        <v>50</v>
      </c>
      <c r="B51">
        <v>34</v>
      </c>
      <c r="C51" t="s">
        <v>2</v>
      </c>
      <c r="D51" t="s">
        <v>12</v>
      </c>
      <c r="E51" s="1">
        <v>350</v>
      </c>
      <c r="F51" t="s">
        <v>5</v>
      </c>
      <c r="G51" t="s">
        <v>5</v>
      </c>
      <c r="H51" t="s">
        <v>5</v>
      </c>
      <c r="I51" t="s">
        <v>7</v>
      </c>
      <c r="J51" t="s">
        <v>8</v>
      </c>
      <c r="K51" t="s">
        <v>8</v>
      </c>
      <c r="L51" t="s">
        <v>8</v>
      </c>
      <c r="M51" t="s">
        <v>8</v>
      </c>
      <c r="N51" t="s">
        <v>10</v>
      </c>
    </row>
    <row r="52" spans="1:14" x14ac:dyDescent="0.35">
      <c r="A52">
        <v>51</v>
      </c>
      <c r="B52">
        <v>32</v>
      </c>
      <c r="C52" t="s">
        <v>2</v>
      </c>
      <c r="D52" t="s">
        <v>3</v>
      </c>
      <c r="E52" s="1">
        <v>300</v>
      </c>
      <c r="F52" t="s">
        <v>5</v>
      </c>
      <c r="G52" t="s">
        <v>5</v>
      </c>
      <c r="H52" t="s">
        <v>6</v>
      </c>
      <c r="I52" t="s">
        <v>14</v>
      </c>
      <c r="J52" t="s">
        <v>9</v>
      </c>
      <c r="K52" t="s">
        <v>9</v>
      </c>
      <c r="L52" t="s">
        <v>8</v>
      </c>
      <c r="M52" t="s">
        <v>9</v>
      </c>
      <c r="N52" t="s">
        <v>10</v>
      </c>
    </row>
    <row r="53" spans="1:14" x14ac:dyDescent="0.35">
      <c r="A53">
        <v>52</v>
      </c>
      <c r="B53">
        <v>29</v>
      </c>
      <c r="C53" t="s">
        <v>2</v>
      </c>
      <c r="D53" t="s">
        <v>3</v>
      </c>
      <c r="E53" s="1">
        <v>450</v>
      </c>
      <c r="F53" t="s">
        <v>5</v>
      </c>
      <c r="G53" t="s">
        <v>5</v>
      </c>
      <c r="H53" t="s">
        <v>5</v>
      </c>
      <c r="I53" t="s">
        <v>7</v>
      </c>
      <c r="J53" t="s">
        <v>8</v>
      </c>
      <c r="K53" t="s">
        <v>9</v>
      </c>
      <c r="L53" t="s">
        <v>8</v>
      </c>
      <c r="M53" t="s">
        <v>8</v>
      </c>
      <c r="N53" t="s">
        <v>10</v>
      </c>
    </row>
    <row r="54" spans="1:14" x14ac:dyDescent="0.35">
      <c r="A54">
        <v>53</v>
      </c>
      <c r="B54">
        <v>35</v>
      </c>
      <c r="C54" t="s">
        <v>2</v>
      </c>
      <c r="D54" t="s">
        <v>15</v>
      </c>
      <c r="E54" s="1">
        <v>500</v>
      </c>
      <c r="F54" t="s">
        <v>5</v>
      </c>
      <c r="G54" t="s">
        <v>5</v>
      </c>
      <c r="H54" t="s">
        <v>5</v>
      </c>
      <c r="I54" t="s">
        <v>7</v>
      </c>
      <c r="J54" t="s">
        <v>8</v>
      </c>
      <c r="K54" t="s">
        <v>9</v>
      </c>
      <c r="L54" t="s">
        <v>9</v>
      </c>
      <c r="M54" t="s">
        <v>9</v>
      </c>
      <c r="N54" t="s">
        <v>10</v>
      </c>
    </row>
    <row r="55" spans="1:14" x14ac:dyDescent="0.35">
      <c r="A55">
        <v>54</v>
      </c>
      <c r="B55">
        <v>37</v>
      </c>
      <c r="C55" t="s">
        <v>16</v>
      </c>
      <c r="D55" t="s">
        <v>3</v>
      </c>
      <c r="E55" s="1">
        <v>300</v>
      </c>
      <c r="F55" t="s">
        <v>5</v>
      </c>
      <c r="G55" t="s">
        <v>5</v>
      </c>
      <c r="H55" t="s">
        <v>6</v>
      </c>
      <c r="I55" t="s">
        <v>7</v>
      </c>
      <c r="J55" t="s">
        <v>9</v>
      </c>
      <c r="K55" t="s">
        <v>9</v>
      </c>
      <c r="L55" t="s">
        <v>9</v>
      </c>
      <c r="M55" t="s">
        <v>8</v>
      </c>
      <c r="N55" t="s">
        <v>10</v>
      </c>
    </row>
    <row r="56" spans="1:14" x14ac:dyDescent="0.35">
      <c r="A56">
        <v>55</v>
      </c>
      <c r="B56">
        <v>38</v>
      </c>
      <c r="C56" t="s">
        <v>2</v>
      </c>
      <c r="D56" t="s">
        <v>12</v>
      </c>
      <c r="E56" s="1">
        <v>350</v>
      </c>
      <c r="F56" t="s">
        <v>5</v>
      </c>
      <c r="G56" t="s">
        <v>4</v>
      </c>
      <c r="H56" t="s">
        <v>5</v>
      </c>
      <c r="I56" t="s">
        <v>7</v>
      </c>
      <c r="J56" t="s">
        <v>8</v>
      </c>
      <c r="K56" t="s">
        <v>9</v>
      </c>
      <c r="L56" t="s">
        <v>9</v>
      </c>
      <c r="M56" t="s">
        <v>9</v>
      </c>
      <c r="N56" t="s">
        <v>10</v>
      </c>
    </row>
    <row r="57" spans="1:14" x14ac:dyDescent="0.35">
      <c r="A57">
        <v>56</v>
      </c>
      <c r="B57">
        <v>38</v>
      </c>
      <c r="C57" t="s">
        <v>17</v>
      </c>
      <c r="D57" t="s">
        <v>11</v>
      </c>
      <c r="E57" s="1">
        <v>500</v>
      </c>
      <c r="F57" t="s">
        <v>5</v>
      </c>
      <c r="G57" t="s">
        <v>5</v>
      </c>
      <c r="H57" t="s">
        <v>5</v>
      </c>
      <c r="I57" t="s">
        <v>7</v>
      </c>
      <c r="J57" t="s">
        <v>8</v>
      </c>
      <c r="K57" t="s">
        <v>8</v>
      </c>
      <c r="L57" t="s">
        <v>8</v>
      </c>
      <c r="M57" t="s">
        <v>8</v>
      </c>
      <c r="N57" t="s">
        <v>10</v>
      </c>
    </row>
    <row r="58" spans="1:14" x14ac:dyDescent="0.35">
      <c r="A58">
        <v>57</v>
      </c>
      <c r="B58">
        <v>24</v>
      </c>
      <c r="C58" t="s">
        <v>2</v>
      </c>
      <c r="D58" t="s">
        <v>3</v>
      </c>
      <c r="E58" s="1">
        <v>500</v>
      </c>
      <c r="F58" t="s">
        <v>5</v>
      </c>
      <c r="G58" t="s">
        <v>5</v>
      </c>
      <c r="H58" t="s">
        <v>5</v>
      </c>
      <c r="I58" t="s">
        <v>7</v>
      </c>
      <c r="J58" t="s">
        <v>8</v>
      </c>
      <c r="K58" t="s">
        <v>8</v>
      </c>
      <c r="L58" t="s">
        <v>8</v>
      </c>
      <c r="M58" t="s">
        <v>8</v>
      </c>
      <c r="N58" t="s">
        <v>10</v>
      </c>
    </row>
    <row r="59" spans="1:14" x14ac:dyDescent="0.35">
      <c r="A59">
        <v>58</v>
      </c>
      <c r="B59">
        <v>32</v>
      </c>
      <c r="C59" t="s">
        <v>2</v>
      </c>
      <c r="D59" t="s">
        <v>12</v>
      </c>
      <c r="E59" s="1">
        <v>300</v>
      </c>
      <c r="F59" t="s">
        <v>5</v>
      </c>
      <c r="G59" t="s">
        <v>5</v>
      </c>
      <c r="H59" t="s">
        <v>5</v>
      </c>
      <c r="I59" t="s">
        <v>7</v>
      </c>
      <c r="J59" t="s">
        <v>9</v>
      </c>
      <c r="K59" t="s">
        <v>9</v>
      </c>
      <c r="L59" t="s">
        <v>9</v>
      </c>
      <c r="M59" t="s">
        <v>9</v>
      </c>
      <c r="N59" t="s">
        <v>10</v>
      </c>
    </row>
    <row r="60" spans="1:14" x14ac:dyDescent="0.35">
      <c r="A60">
        <v>59</v>
      </c>
      <c r="B60">
        <v>28</v>
      </c>
      <c r="C60" t="s">
        <v>2</v>
      </c>
      <c r="D60" t="s">
        <v>15</v>
      </c>
      <c r="E60" s="1">
        <v>300</v>
      </c>
      <c r="F60" t="s">
        <v>5</v>
      </c>
      <c r="G60" t="s">
        <v>5</v>
      </c>
      <c r="H60" t="s">
        <v>6</v>
      </c>
      <c r="I60" t="s">
        <v>7</v>
      </c>
      <c r="J60" t="s">
        <v>9</v>
      </c>
      <c r="K60" t="s">
        <v>9</v>
      </c>
      <c r="L60" t="s">
        <v>9</v>
      </c>
      <c r="M60" t="s">
        <v>8</v>
      </c>
      <c r="N60" t="s">
        <v>10</v>
      </c>
    </row>
    <row r="61" spans="1:14" x14ac:dyDescent="0.35">
      <c r="A61">
        <v>60</v>
      </c>
      <c r="B61">
        <v>30</v>
      </c>
      <c r="C61" t="s">
        <v>2</v>
      </c>
      <c r="D61" t="s">
        <v>12</v>
      </c>
      <c r="E61" s="1">
        <v>550</v>
      </c>
      <c r="F61" t="s">
        <v>5</v>
      </c>
      <c r="G61" t="s">
        <v>4</v>
      </c>
      <c r="H61" t="s">
        <v>6</v>
      </c>
      <c r="I61" t="s">
        <v>7</v>
      </c>
      <c r="J61" t="s">
        <v>9</v>
      </c>
      <c r="K61" t="s">
        <v>9</v>
      </c>
      <c r="L61" t="s">
        <v>9</v>
      </c>
      <c r="M61" t="s">
        <v>9</v>
      </c>
      <c r="N61" t="s">
        <v>10</v>
      </c>
    </row>
    <row r="62" spans="1:14" x14ac:dyDescent="0.35">
      <c r="A62">
        <v>61</v>
      </c>
      <c r="B62">
        <v>25</v>
      </c>
      <c r="C62" t="s">
        <v>2</v>
      </c>
      <c r="D62" t="s">
        <v>12</v>
      </c>
      <c r="E62" s="1">
        <v>600</v>
      </c>
      <c r="F62" t="s">
        <v>5</v>
      </c>
      <c r="G62" t="s">
        <v>5</v>
      </c>
      <c r="H62" t="s">
        <v>6</v>
      </c>
      <c r="I62" t="s">
        <v>14</v>
      </c>
      <c r="J62" t="s">
        <v>9</v>
      </c>
      <c r="K62" t="s">
        <v>9</v>
      </c>
      <c r="L62" t="s">
        <v>9</v>
      </c>
      <c r="M62" t="s">
        <v>9</v>
      </c>
      <c r="N62" t="s">
        <v>10</v>
      </c>
    </row>
    <row r="63" spans="1:14" x14ac:dyDescent="0.35">
      <c r="A63">
        <v>62</v>
      </c>
      <c r="B63">
        <v>38</v>
      </c>
      <c r="C63" t="s">
        <v>2</v>
      </c>
      <c r="D63" t="s">
        <v>15</v>
      </c>
      <c r="E63" s="1">
        <v>400</v>
      </c>
      <c r="F63" t="s">
        <v>6</v>
      </c>
      <c r="G63" t="s">
        <v>30</v>
      </c>
      <c r="H63" t="s">
        <v>30</v>
      </c>
      <c r="I63" t="s">
        <v>7</v>
      </c>
      <c r="J63" t="s">
        <v>9</v>
      </c>
      <c r="K63" t="s">
        <v>9</v>
      </c>
      <c r="L63" t="s">
        <v>9</v>
      </c>
      <c r="M63" t="s">
        <v>9</v>
      </c>
      <c r="N63" t="s">
        <v>10</v>
      </c>
    </row>
    <row r="64" spans="1:14" x14ac:dyDescent="0.35">
      <c r="A64">
        <v>63</v>
      </c>
      <c r="B64">
        <v>19</v>
      </c>
      <c r="C64" t="s">
        <v>2</v>
      </c>
      <c r="D64" t="s">
        <v>12</v>
      </c>
      <c r="E64" s="1">
        <v>400</v>
      </c>
      <c r="F64" t="s">
        <v>6</v>
      </c>
      <c r="G64" t="s">
        <v>30</v>
      </c>
      <c r="H64" t="s">
        <v>30</v>
      </c>
      <c r="I64" t="s">
        <v>14</v>
      </c>
      <c r="J64" t="s">
        <v>9</v>
      </c>
      <c r="K64" t="s">
        <v>9</v>
      </c>
      <c r="L64" t="s">
        <v>9</v>
      </c>
      <c r="M64" t="s">
        <v>9</v>
      </c>
      <c r="N64" t="s">
        <v>10</v>
      </c>
    </row>
    <row r="65" spans="1:14" x14ac:dyDescent="0.35">
      <c r="A65">
        <v>64</v>
      </c>
      <c r="B65">
        <v>28</v>
      </c>
      <c r="C65" t="s">
        <v>17</v>
      </c>
      <c r="D65" t="s">
        <v>11</v>
      </c>
      <c r="E65" s="1">
        <v>1300</v>
      </c>
      <c r="F65" t="s">
        <v>5</v>
      </c>
      <c r="G65" t="s">
        <v>4</v>
      </c>
      <c r="H65" t="s">
        <v>5</v>
      </c>
      <c r="I65" t="s">
        <v>7</v>
      </c>
      <c r="J65" t="s">
        <v>9</v>
      </c>
      <c r="K65" t="s">
        <v>9</v>
      </c>
      <c r="L65" t="s">
        <v>9</v>
      </c>
      <c r="M65" t="s">
        <v>9</v>
      </c>
      <c r="N65" t="s">
        <v>10</v>
      </c>
    </row>
    <row r="66" spans="1:14" x14ac:dyDescent="0.35">
      <c r="A66">
        <v>65</v>
      </c>
      <c r="B66">
        <v>38</v>
      </c>
      <c r="C66" t="s">
        <v>2</v>
      </c>
      <c r="D66" t="s">
        <v>15</v>
      </c>
      <c r="E66" s="1">
        <v>850</v>
      </c>
      <c r="F66" t="s">
        <v>5</v>
      </c>
      <c r="G66" t="s">
        <v>5</v>
      </c>
      <c r="H66" t="s">
        <v>6</v>
      </c>
      <c r="I66" t="s">
        <v>14</v>
      </c>
      <c r="J66" t="s">
        <v>9</v>
      </c>
      <c r="K66" t="s">
        <v>8</v>
      </c>
      <c r="L66" t="s">
        <v>9</v>
      </c>
      <c r="M66" t="s">
        <v>9</v>
      </c>
      <c r="N66" t="s">
        <v>10</v>
      </c>
    </row>
    <row r="67" spans="1:14" x14ac:dyDescent="0.35">
      <c r="A67">
        <v>66</v>
      </c>
      <c r="B67">
        <v>27</v>
      </c>
      <c r="C67" t="s">
        <v>2</v>
      </c>
      <c r="D67" t="s">
        <v>12</v>
      </c>
      <c r="E67" s="1">
        <v>300</v>
      </c>
      <c r="F67" t="s">
        <v>5</v>
      </c>
      <c r="G67" t="s">
        <v>5</v>
      </c>
      <c r="H67" t="s">
        <v>6</v>
      </c>
      <c r="I67" t="s">
        <v>7</v>
      </c>
      <c r="J67" t="s">
        <v>9</v>
      </c>
      <c r="K67" t="s">
        <v>9</v>
      </c>
      <c r="L67" t="s">
        <v>9</v>
      </c>
      <c r="M67" t="s">
        <v>9</v>
      </c>
      <c r="N67" t="s">
        <v>10</v>
      </c>
    </row>
    <row r="68" spans="1:14" x14ac:dyDescent="0.35">
      <c r="A68">
        <v>67</v>
      </c>
      <c r="B68">
        <v>38</v>
      </c>
      <c r="C68" t="s">
        <v>2</v>
      </c>
      <c r="D68" t="s">
        <v>15</v>
      </c>
      <c r="E68" s="1">
        <v>250</v>
      </c>
      <c r="F68" t="s">
        <v>6</v>
      </c>
      <c r="G68" t="s">
        <v>30</v>
      </c>
      <c r="H68" t="s">
        <v>30</v>
      </c>
      <c r="I68" t="s">
        <v>14</v>
      </c>
      <c r="J68" t="s">
        <v>9</v>
      </c>
      <c r="K68" t="s">
        <v>9</v>
      </c>
      <c r="L68" t="s">
        <v>9</v>
      </c>
      <c r="M68" t="s">
        <v>9</v>
      </c>
      <c r="N68" t="s">
        <v>10</v>
      </c>
    </row>
    <row r="69" spans="1:14" x14ac:dyDescent="0.35">
      <c r="A69">
        <v>68</v>
      </c>
      <c r="B69">
        <v>23</v>
      </c>
      <c r="C69" t="s">
        <v>16</v>
      </c>
      <c r="D69" t="s">
        <v>3</v>
      </c>
      <c r="E69" s="1">
        <v>250</v>
      </c>
      <c r="F69" t="s">
        <v>5</v>
      </c>
      <c r="G69" t="s">
        <v>5</v>
      </c>
      <c r="H69" t="s">
        <v>6</v>
      </c>
      <c r="I69" t="s">
        <v>7</v>
      </c>
      <c r="J69" t="s">
        <v>9</v>
      </c>
      <c r="K69" t="s">
        <v>9</v>
      </c>
      <c r="L69" t="s">
        <v>9</v>
      </c>
      <c r="M69" t="s">
        <v>9</v>
      </c>
      <c r="N69" t="s">
        <v>10</v>
      </c>
    </row>
    <row r="70" spans="1:14" x14ac:dyDescent="0.35">
      <c r="A70">
        <v>69</v>
      </c>
      <c r="B70">
        <v>24</v>
      </c>
      <c r="C70" t="s">
        <v>2</v>
      </c>
      <c r="D70" t="s">
        <v>12</v>
      </c>
      <c r="E70" s="1">
        <v>800</v>
      </c>
      <c r="F70" t="s">
        <v>5</v>
      </c>
      <c r="G70" t="s">
        <v>5</v>
      </c>
      <c r="H70" t="s">
        <v>6</v>
      </c>
      <c r="I70" t="s">
        <v>7</v>
      </c>
      <c r="J70" t="s">
        <v>8</v>
      </c>
      <c r="K70" t="s">
        <v>8</v>
      </c>
      <c r="L70" t="s">
        <v>8</v>
      </c>
      <c r="M70" t="s">
        <v>8</v>
      </c>
      <c r="N70" t="s">
        <v>10</v>
      </c>
    </row>
    <row r="71" spans="1:14" x14ac:dyDescent="0.35">
      <c r="A71">
        <v>70</v>
      </c>
      <c r="B71">
        <v>28</v>
      </c>
      <c r="C71" t="s">
        <v>2</v>
      </c>
      <c r="D71" t="s">
        <v>15</v>
      </c>
      <c r="E71" s="1">
        <v>250</v>
      </c>
      <c r="F71" t="s">
        <v>5</v>
      </c>
      <c r="G71" t="s">
        <v>5</v>
      </c>
      <c r="H71" t="s">
        <v>5</v>
      </c>
      <c r="I71" t="s">
        <v>14</v>
      </c>
      <c r="J71" t="s">
        <v>9</v>
      </c>
      <c r="K71" t="s">
        <v>9</v>
      </c>
      <c r="L71" t="s">
        <v>8</v>
      </c>
      <c r="M71" t="s">
        <v>8</v>
      </c>
      <c r="N71" t="s">
        <v>10</v>
      </c>
    </row>
    <row r="72" spans="1:14" x14ac:dyDescent="0.35">
      <c r="A72">
        <v>71</v>
      </c>
      <c r="B72">
        <v>21</v>
      </c>
      <c r="C72" t="s">
        <v>2</v>
      </c>
      <c r="D72" t="s">
        <v>11</v>
      </c>
      <c r="E72" s="1">
        <v>1000</v>
      </c>
      <c r="F72" t="s">
        <v>5</v>
      </c>
      <c r="G72" t="s">
        <v>5</v>
      </c>
      <c r="H72" t="s">
        <v>5</v>
      </c>
      <c r="I72" t="s">
        <v>7</v>
      </c>
      <c r="J72" t="s">
        <v>8</v>
      </c>
      <c r="K72" t="s">
        <v>8</v>
      </c>
      <c r="L72" t="s">
        <v>9</v>
      </c>
      <c r="M72" t="s">
        <v>8</v>
      </c>
      <c r="N72" t="s">
        <v>10</v>
      </c>
    </row>
    <row r="73" spans="1:14" x14ac:dyDescent="0.35">
      <c r="A73">
        <v>72</v>
      </c>
      <c r="B73">
        <v>28</v>
      </c>
      <c r="C73" t="s">
        <v>16</v>
      </c>
      <c r="D73" t="s">
        <v>12</v>
      </c>
      <c r="E73" s="1">
        <v>250</v>
      </c>
      <c r="F73" t="s">
        <v>6</v>
      </c>
      <c r="G73" t="s">
        <v>30</v>
      </c>
      <c r="H73" t="s">
        <v>30</v>
      </c>
      <c r="I73" t="s">
        <v>14</v>
      </c>
      <c r="J73" t="s">
        <v>9</v>
      </c>
      <c r="K73" t="s">
        <v>9</v>
      </c>
      <c r="L73" t="s">
        <v>9</v>
      </c>
      <c r="M73" t="s">
        <v>9</v>
      </c>
      <c r="N73" t="s">
        <v>10</v>
      </c>
    </row>
    <row r="74" spans="1:14" x14ac:dyDescent="0.35">
      <c r="A74">
        <v>73</v>
      </c>
      <c r="B74">
        <v>33</v>
      </c>
      <c r="C74" t="s">
        <v>16</v>
      </c>
      <c r="D74" t="s">
        <v>15</v>
      </c>
      <c r="E74" s="1">
        <v>350</v>
      </c>
      <c r="F74" t="s">
        <v>5</v>
      </c>
      <c r="G74" t="s">
        <v>4</v>
      </c>
      <c r="H74" t="s">
        <v>6</v>
      </c>
      <c r="I74" t="s">
        <v>7</v>
      </c>
      <c r="J74" t="s">
        <v>9</v>
      </c>
      <c r="K74" t="s">
        <v>9</v>
      </c>
      <c r="L74" t="s">
        <v>9</v>
      </c>
      <c r="M74" t="s">
        <v>9</v>
      </c>
      <c r="N74" t="s">
        <v>10</v>
      </c>
    </row>
    <row r="75" spans="1:14" x14ac:dyDescent="0.35">
      <c r="A75">
        <v>74</v>
      </c>
      <c r="B75">
        <v>33</v>
      </c>
      <c r="C75" t="s">
        <v>17</v>
      </c>
      <c r="D75" t="s">
        <v>15</v>
      </c>
      <c r="E75" s="1">
        <v>300</v>
      </c>
      <c r="F75" t="s">
        <v>5</v>
      </c>
      <c r="G75" t="s">
        <v>5</v>
      </c>
      <c r="H75" t="s">
        <v>5</v>
      </c>
      <c r="I75" t="s">
        <v>14</v>
      </c>
      <c r="J75" t="s">
        <v>9</v>
      </c>
      <c r="K75" t="s">
        <v>9</v>
      </c>
      <c r="L75" t="s">
        <v>9</v>
      </c>
      <c r="M75" t="s">
        <v>9</v>
      </c>
      <c r="N75" t="s">
        <v>10</v>
      </c>
    </row>
    <row r="76" spans="1:14" x14ac:dyDescent="0.35">
      <c r="A76">
        <v>75</v>
      </c>
      <c r="B76">
        <v>36</v>
      </c>
      <c r="C76" t="s">
        <v>2</v>
      </c>
      <c r="D76" t="s">
        <v>12</v>
      </c>
      <c r="E76" s="1">
        <v>300</v>
      </c>
      <c r="F76" t="s">
        <v>5</v>
      </c>
      <c r="G76" t="s">
        <v>4</v>
      </c>
      <c r="H76" t="s">
        <v>5</v>
      </c>
      <c r="I76" t="s">
        <v>7</v>
      </c>
      <c r="J76" t="s">
        <v>9</v>
      </c>
      <c r="K76" t="s">
        <v>9</v>
      </c>
      <c r="L76" t="s">
        <v>9</v>
      </c>
      <c r="M76" t="s">
        <v>9</v>
      </c>
      <c r="N76" t="s">
        <v>10</v>
      </c>
    </row>
    <row r="77" spans="1:14" x14ac:dyDescent="0.35">
      <c r="A77">
        <v>76</v>
      </c>
      <c r="B77">
        <v>22</v>
      </c>
      <c r="C77" t="s">
        <v>2</v>
      </c>
      <c r="D77" t="s">
        <v>12</v>
      </c>
      <c r="E77" s="1">
        <v>200</v>
      </c>
      <c r="F77" t="s">
        <v>5</v>
      </c>
      <c r="G77" t="s">
        <v>5</v>
      </c>
      <c r="H77" t="s">
        <v>6</v>
      </c>
      <c r="I77" t="s">
        <v>14</v>
      </c>
      <c r="J77" t="s">
        <v>9</v>
      </c>
      <c r="K77" t="s">
        <v>9</v>
      </c>
      <c r="L77" t="s">
        <v>9</v>
      </c>
      <c r="M77" t="s">
        <v>9</v>
      </c>
      <c r="N77" t="s">
        <v>10</v>
      </c>
    </row>
    <row r="78" spans="1:14" x14ac:dyDescent="0.35">
      <c r="A78">
        <v>77</v>
      </c>
      <c r="B78">
        <v>29</v>
      </c>
      <c r="C78" t="s">
        <v>2</v>
      </c>
      <c r="D78" t="s">
        <v>12</v>
      </c>
      <c r="E78" s="1">
        <v>850</v>
      </c>
      <c r="F78" t="s">
        <v>5</v>
      </c>
      <c r="G78" t="s">
        <v>5</v>
      </c>
      <c r="H78" t="s">
        <v>5</v>
      </c>
      <c r="I78" t="s">
        <v>7</v>
      </c>
      <c r="J78" t="s">
        <v>8</v>
      </c>
      <c r="K78" t="s">
        <v>9</v>
      </c>
      <c r="L78" t="s">
        <v>9</v>
      </c>
      <c r="M78" t="s">
        <v>8</v>
      </c>
      <c r="N78" t="s">
        <v>10</v>
      </c>
    </row>
    <row r="79" spans="1:14" x14ac:dyDescent="0.35">
      <c r="A79">
        <v>78</v>
      </c>
      <c r="B79">
        <v>24</v>
      </c>
      <c r="C79" t="s">
        <v>2</v>
      </c>
      <c r="D79" t="s">
        <v>3</v>
      </c>
      <c r="E79" s="1">
        <v>450</v>
      </c>
      <c r="F79" t="s">
        <v>5</v>
      </c>
      <c r="G79" t="s">
        <v>5</v>
      </c>
      <c r="H79" t="s">
        <v>5</v>
      </c>
      <c r="I79" t="s">
        <v>7</v>
      </c>
      <c r="J79" t="s">
        <v>8</v>
      </c>
      <c r="K79" t="s">
        <v>9</v>
      </c>
      <c r="L79" t="s">
        <v>8</v>
      </c>
      <c r="M79" t="s">
        <v>8</v>
      </c>
      <c r="N79" t="s">
        <v>10</v>
      </c>
    </row>
    <row r="80" spans="1:14" x14ac:dyDescent="0.35">
      <c r="A80">
        <v>79</v>
      </c>
      <c r="B80">
        <v>34</v>
      </c>
      <c r="C80" t="s">
        <v>2</v>
      </c>
      <c r="D80" t="s">
        <v>3</v>
      </c>
      <c r="E80" s="1">
        <v>350</v>
      </c>
      <c r="F80" t="s">
        <v>5</v>
      </c>
      <c r="G80" t="s">
        <v>5</v>
      </c>
      <c r="H80" t="s">
        <v>5</v>
      </c>
      <c r="I80" t="s">
        <v>7</v>
      </c>
      <c r="J80" t="s">
        <v>8</v>
      </c>
      <c r="K80" t="s">
        <v>8</v>
      </c>
      <c r="L80" t="s">
        <v>9</v>
      </c>
      <c r="M80" t="s">
        <v>8</v>
      </c>
      <c r="N80" t="s">
        <v>10</v>
      </c>
    </row>
    <row r="81" spans="1:14" x14ac:dyDescent="0.35">
      <c r="A81">
        <v>80</v>
      </c>
      <c r="B81">
        <v>32</v>
      </c>
      <c r="C81" t="s">
        <v>2</v>
      </c>
      <c r="D81" t="s">
        <v>12</v>
      </c>
      <c r="E81" s="1">
        <v>800</v>
      </c>
      <c r="F81" t="s">
        <v>5</v>
      </c>
      <c r="G81" t="s">
        <v>5</v>
      </c>
      <c r="H81" t="s">
        <v>5</v>
      </c>
      <c r="I81" t="s">
        <v>7</v>
      </c>
      <c r="J81" t="s">
        <v>8</v>
      </c>
      <c r="K81" t="s">
        <v>8</v>
      </c>
      <c r="L81" t="s">
        <v>8</v>
      </c>
      <c r="M81" t="s">
        <v>8</v>
      </c>
      <c r="N81" t="s">
        <v>10</v>
      </c>
    </row>
    <row r="82" spans="1:14" x14ac:dyDescent="0.35">
      <c r="A82">
        <v>81</v>
      </c>
      <c r="B82">
        <v>42</v>
      </c>
      <c r="C82" t="s">
        <v>2</v>
      </c>
      <c r="D82" t="s">
        <v>15</v>
      </c>
      <c r="E82" s="1">
        <v>300</v>
      </c>
      <c r="F82" t="s">
        <v>5</v>
      </c>
      <c r="G82" t="s">
        <v>5</v>
      </c>
      <c r="H82" t="s">
        <v>5</v>
      </c>
      <c r="I82" t="s">
        <v>7</v>
      </c>
      <c r="J82" t="s">
        <v>9</v>
      </c>
      <c r="K82" t="s">
        <v>8</v>
      </c>
      <c r="L82" t="s">
        <v>9</v>
      </c>
      <c r="M82" t="s">
        <v>9</v>
      </c>
      <c r="N82" t="s">
        <v>10</v>
      </c>
    </row>
    <row r="83" spans="1:14" x14ac:dyDescent="0.35">
      <c r="A83">
        <v>82</v>
      </c>
      <c r="B83">
        <v>27</v>
      </c>
      <c r="C83" t="s">
        <v>2</v>
      </c>
      <c r="D83" t="s">
        <v>11</v>
      </c>
      <c r="E83" s="1">
        <v>1800</v>
      </c>
      <c r="F83" t="s">
        <v>6</v>
      </c>
      <c r="G83" t="s">
        <v>30</v>
      </c>
      <c r="H83" t="s">
        <v>30</v>
      </c>
      <c r="I83" t="s">
        <v>14</v>
      </c>
      <c r="J83" t="s">
        <v>9</v>
      </c>
      <c r="K83" t="s">
        <v>9</v>
      </c>
      <c r="L83" t="s">
        <v>9</v>
      </c>
      <c r="M83" t="s">
        <v>9</v>
      </c>
      <c r="N83" t="s">
        <v>10</v>
      </c>
    </row>
    <row r="84" spans="1:14" x14ac:dyDescent="0.35">
      <c r="A84">
        <v>83</v>
      </c>
      <c r="B84">
        <v>22</v>
      </c>
      <c r="C84" t="s">
        <v>2</v>
      </c>
      <c r="D84" t="s">
        <v>15</v>
      </c>
      <c r="E84" s="1">
        <v>400</v>
      </c>
      <c r="F84" t="s">
        <v>5</v>
      </c>
      <c r="G84" t="s">
        <v>5</v>
      </c>
      <c r="H84" t="s">
        <v>5</v>
      </c>
      <c r="I84" t="s">
        <v>7</v>
      </c>
      <c r="J84" t="s">
        <v>8</v>
      </c>
      <c r="K84" t="s">
        <v>8</v>
      </c>
      <c r="L84" t="s">
        <v>8</v>
      </c>
      <c r="M84" t="s">
        <v>8</v>
      </c>
      <c r="N84" t="s">
        <v>10</v>
      </c>
    </row>
    <row r="85" spans="1:14" x14ac:dyDescent="0.35">
      <c r="A85">
        <v>84</v>
      </c>
      <c r="B85">
        <v>32</v>
      </c>
      <c r="C85" t="s">
        <v>2</v>
      </c>
      <c r="D85" t="s">
        <v>11</v>
      </c>
      <c r="E85" s="1">
        <v>800</v>
      </c>
      <c r="F85" t="s">
        <v>5</v>
      </c>
      <c r="G85" t="s">
        <v>5</v>
      </c>
      <c r="H85" t="s">
        <v>5</v>
      </c>
      <c r="I85" t="s">
        <v>7</v>
      </c>
      <c r="J85" t="s">
        <v>9</v>
      </c>
      <c r="K85" t="s">
        <v>9</v>
      </c>
      <c r="L85" t="s">
        <v>9</v>
      </c>
      <c r="M85" t="s">
        <v>9</v>
      </c>
      <c r="N85" t="s">
        <v>10</v>
      </c>
    </row>
    <row r="86" spans="1:14" x14ac:dyDescent="0.35">
      <c r="A86">
        <v>85</v>
      </c>
      <c r="B86">
        <v>28</v>
      </c>
      <c r="C86" t="s">
        <v>2</v>
      </c>
      <c r="D86" t="s">
        <v>15</v>
      </c>
      <c r="E86" s="1">
        <v>3000</v>
      </c>
      <c r="F86" t="s">
        <v>5</v>
      </c>
      <c r="G86" t="s">
        <v>5</v>
      </c>
      <c r="H86" t="s">
        <v>6</v>
      </c>
      <c r="I86" t="s">
        <v>14</v>
      </c>
      <c r="J86" t="s">
        <v>9</v>
      </c>
      <c r="K86" t="s">
        <v>9</v>
      </c>
      <c r="L86" t="s">
        <v>9</v>
      </c>
      <c r="M86" t="s">
        <v>8</v>
      </c>
      <c r="N86" t="s">
        <v>10</v>
      </c>
    </row>
    <row r="87" spans="1:14" x14ac:dyDescent="0.35">
      <c r="A87">
        <v>86</v>
      </c>
      <c r="B87">
        <v>34</v>
      </c>
      <c r="C87" t="s">
        <v>2</v>
      </c>
      <c r="D87" t="s">
        <v>11</v>
      </c>
      <c r="E87" s="1">
        <v>300</v>
      </c>
      <c r="F87" t="s">
        <v>5</v>
      </c>
      <c r="G87" t="s">
        <v>5</v>
      </c>
      <c r="H87" t="s">
        <v>5</v>
      </c>
      <c r="I87" t="s">
        <v>14</v>
      </c>
      <c r="J87" t="s">
        <v>9</v>
      </c>
      <c r="K87" t="s">
        <v>9</v>
      </c>
      <c r="L87" t="s">
        <v>9</v>
      </c>
      <c r="M87" t="s">
        <v>8</v>
      </c>
      <c r="N87" t="s">
        <v>10</v>
      </c>
    </row>
    <row r="88" spans="1:14" x14ac:dyDescent="0.35">
      <c r="A88">
        <v>87</v>
      </c>
      <c r="B88">
        <v>23</v>
      </c>
      <c r="C88" t="s">
        <v>2</v>
      </c>
      <c r="D88" t="s">
        <v>12</v>
      </c>
      <c r="E88" s="1">
        <v>400</v>
      </c>
      <c r="F88" t="s">
        <v>5</v>
      </c>
      <c r="G88" t="s">
        <v>4</v>
      </c>
      <c r="H88" t="s">
        <v>5</v>
      </c>
      <c r="I88" t="s">
        <v>14</v>
      </c>
      <c r="J88" t="s">
        <v>9</v>
      </c>
      <c r="K88" t="s">
        <v>9</v>
      </c>
      <c r="L88" t="s">
        <v>9</v>
      </c>
      <c r="M88" t="s">
        <v>9</v>
      </c>
      <c r="N88" t="s">
        <v>10</v>
      </c>
    </row>
    <row r="89" spans="1:14" x14ac:dyDescent="0.35">
      <c r="A89">
        <v>88</v>
      </c>
      <c r="B89">
        <v>26</v>
      </c>
      <c r="C89" t="s">
        <v>2</v>
      </c>
      <c r="D89" t="s">
        <v>3</v>
      </c>
      <c r="E89" s="1">
        <v>300</v>
      </c>
      <c r="F89" t="s">
        <v>5</v>
      </c>
      <c r="G89" t="s">
        <v>4</v>
      </c>
      <c r="H89" t="s">
        <v>6</v>
      </c>
      <c r="I89" t="s">
        <v>14</v>
      </c>
      <c r="J89" t="s">
        <v>9</v>
      </c>
      <c r="K89" t="s">
        <v>9</v>
      </c>
      <c r="L89" t="s">
        <v>9</v>
      </c>
      <c r="M89" t="s">
        <v>9</v>
      </c>
      <c r="N89" t="s">
        <v>10</v>
      </c>
    </row>
    <row r="90" spans="1:14" x14ac:dyDescent="0.35">
      <c r="A90">
        <v>89</v>
      </c>
      <c r="B90">
        <v>18</v>
      </c>
      <c r="C90" t="s">
        <v>2</v>
      </c>
      <c r="D90" t="s">
        <v>3</v>
      </c>
      <c r="E90" s="1">
        <v>250</v>
      </c>
      <c r="F90" t="s">
        <v>5</v>
      </c>
      <c r="G90" t="s">
        <v>5</v>
      </c>
      <c r="H90" t="s">
        <v>6</v>
      </c>
      <c r="I90" t="s">
        <v>14</v>
      </c>
      <c r="J90" t="s">
        <v>9</v>
      </c>
      <c r="K90" t="s">
        <v>9</v>
      </c>
      <c r="L90" t="s">
        <v>9</v>
      </c>
      <c r="M90" t="s">
        <v>9</v>
      </c>
      <c r="N90" t="s">
        <v>10</v>
      </c>
    </row>
    <row r="91" spans="1:14" x14ac:dyDescent="0.35">
      <c r="A91">
        <v>90</v>
      </c>
      <c r="B91">
        <v>38</v>
      </c>
      <c r="C91" t="s">
        <v>2</v>
      </c>
      <c r="D91" t="s">
        <v>11</v>
      </c>
      <c r="E91" s="1">
        <v>500</v>
      </c>
      <c r="F91" t="s">
        <v>6</v>
      </c>
      <c r="G91" t="s">
        <v>30</v>
      </c>
      <c r="H91" t="s">
        <v>30</v>
      </c>
      <c r="I91" t="s">
        <v>7</v>
      </c>
      <c r="J91" t="s">
        <v>8</v>
      </c>
      <c r="K91" t="s">
        <v>8</v>
      </c>
      <c r="L91" t="s">
        <v>8</v>
      </c>
      <c r="M91" t="s">
        <v>8</v>
      </c>
      <c r="N91" t="s">
        <v>10</v>
      </c>
    </row>
    <row r="92" spans="1:14" x14ac:dyDescent="0.35">
      <c r="A92">
        <v>91</v>
      </c>
      <c r="B92">
        <v>36</v>
      </c>
      <c r="C92" t="s">
        <v>2</v>
      </c>
      <c r="D92" t="s">
        <v>12</v>
      </c>
      <c r="E92" s="1">
        <v>300</v>
      </c>
      <c r="F92" t="s">
        <v>5</v>
      </c>
      <c r="G92" t="s">
        <v>5</v>
      </c>
      <c r="H92" t="s">
        <v>6</v>
      </c>
      <c r="I92" t="s">
        <v>14</v>
      </c>
      <c r="J92" t="s">
        <v>9</v>
      </c>
      <c r="K92" t="s">
        <v>9</v>
      </c>
      <c r="L92" t="s">
        <v>9</v>
      </c>
      <c r="M92" t="s">
        <v>9</v>
      </c>
      <c r="N92" t="s">
        <v>10</v>
      </c>
    </row>
    <row r="93" spans="1:14" x14ac:dyDescent="0.35">
      <c r="A93">
        <v>92</v>
      </c>
      <c r="B93">
        <v>26</v>
      </c>
      <c r="C93" t="s">
        <v>2</v>
      </c>
      <c r="D93" t="s">
        <v>12</v>
      </c>
      <c r="E93" s="1">
        <v>400</v>
      </c>
      <c r="F93" t="s">
        <v>5</v>
      </c>
      <c r="G93" t="s">
        <v>5</v>
      </c>
      <c r="H93" t="s">
        <v>6</v>
      </c>
      <c r="I93" t="s">
        <v>14</v>
      </c>
      <c r="J93" t="s">
        <v>9</v>
      </c>
      <c r="K93" t="s">
        <v>9</v>
      </c>
      <c r="L93" t="s">
        <v>9</v>
      </c>
      <c r="M93" t="s">
        <v>9</v>
      </c>
      <c r="N93" t="s">
        <v>10</v>
      </c>
    </row>
    <row r="94" spans="1:14" x14ac:dyDescent="0.35">
      <c r="A94">
        <v>93</v>
      </c>
      <c r="B94">
        <v>19</v>
      </c>
      <c r="C94" t="s">
        <v>17</v>
      </c>
      <c r="D94" t="s">
        <v>12</v>
      </c>
      <c r="E94" s="1">
        <v>450</v>
      </c>
      <c r="F94" t="s">
        <v>5</v>
      </c>
      <c r="G94" t="s">
        <v>5</v>
      </c>
      <c r="H94" t="s">
        <v>6</v>
      </c>
      <c r="I94" t="s">
        <v>7</v>
      </c>
      <c r="J94" t="s">
        <v>9</v>
      </c>
      <c r="K94" t="s">
        <v>8</v>
      </c>
      <c r="L94" t="s">
        <v>9</v>
      </c>
      <c r="M94" t="s">
        <v>9</v>
      </c>
      <c r="N94" t="s">
        <v>10</v>
      </c>
    </row>
    <row r="95" spans="1:14" x14ac:dyDescent="0.35">
      <c r="A95">
        <v>94</v>
      </c>
      <c r="B95">
        <v>24</v>
      </c>
      <c r="C95" t="s">
        <v>2</v>
      </c>
      <c r="D95" t="s">
        <v>11</v>
      </c>
      <c r="E95" s="1">
        <v>1500</v>
      </c>
      <c r="F95" t="s">
        <v>5</v>
      </c>
      <c r="G95" t="s">
        <v>5</v>
      </c>
      <c r="H95" t="s">
        <v>5</v>
      </c>
      <c r="I95" t="s">
        <v>7</v>
      </c>
      <c r="J95" t="s">
        <v>8</v>
      </c>
      <c r="K95" t="s">
        <v>8</v>
      </c>
      <c r="L95" t="s">
        <v>8</v>
      </c>
      <c r="M95" t="s">
        <v>8</v>
      </c>
      <c r="N95" t="s">
        <v>10</v>
      </c>
    </row>
    <row r="96" spans="1:14" x14ac:dyDescent="0.35">
      <c r="A96">
        <v>95</v>
      </c>
      <c r="B96">
        <v>24</v>
      </c>
      <c r="C96" t="s">
        <v>2</v>
      </c>
      <c r="D96" t="s">
        <v>12</v>
      </c>
      <c r="E96" s="1">
        <v>800</v>
      </c>
      <c r="F96" t="s">
        <v>5</v>
      </c>
      <c r="G96" t="s">
        <v>5</v>
      </c>
      <c r="H96" t="s">
        <v>5</v>
      </c>
      <c r="I96" t="s">
        <v>7</v>
      </c>
      <c r="J96" t="s">
        <v>9</v>
      </c>
      <c r="K96" t="s">
        <v>9</v>
      </c>
      <c r="L96" t="s">
        <v>9</v>
      </c>
      <c r="M96" t="s">
        <v>9</v>
      </c>
      <c r="N96" t="s">
        <v>10</v>
      </c>
    </row>
    <row r="97" spans="1:14" x14ac:dyDescent="0.35">
      <c r="A97">
        <v>96</v>
      </c>
      <c r="B97">
        <v>32</v>
      </c>
      <c r="C97" t="s">
        <v>2</v>
      </c>
      <c r="D97" t="s">
        <v>3</v>
      </c>
      <c r="E97" s="1">
        <v>500</v>
      </c>
      <c r="F97" t="s">
        <v>5</v>
      </c>
      <c r="G97" t="s">
        <v>5</v>
      </c>
      <c r="H97" t="s">
        <v>5</v>
      </c>
      <c r="I97" t="s">
        <v>14</v>
      </c>
      <c r="J97" t="s">
        <v>9</v>
      </c>
      <c r="K97" t="s">
        <v>9</v>
      </c>
      <c r="L97" t="s">
        <v>9</v>
      </c>
      <c r="M97" t="s">
        <v>9</v>
      </c>
      <c r="N97" t="s">
        <v>10</v>
      </c>
    </row>
    <row r="98" spans="1:14" x14ac:dyDescent="0.35">
      <c r="A98">
        <v>97</v>
      </c>
      <c r="B98">
        <v>22</v>
      </c>
      <c r="C98" t="s">
        <v>2</v>
      </c>
      <c r="D98" t="s">
        <v>15</v>
      </c>
      <c r="E98" s="1">
        <v>800</v>
      </c>
      <c r="F98" t="s">
        <v>5</v>
      </c>
      <c r="G98" t="s">
        <v>5</v>
      </c>
      <c r="H98" t="s">
        <v>6</v>
      </c>
      <c r="I98" t="s">
        <v>7</v>
      </c>
      <c r="J98" t="s">
        <v>8</v>
      </c>
      <c r="K98" t="s">
        <v>8</v>
      </c>
      <c r="L98" t="s">
        <v>8</v>
      </c>
      <c r="M98" t="s">
        <v>8</v>
      </c>
      <c r="N98" t="s">
        <v>10</v>
      </c>
    </row>
    <row r="99" spans="1:14" x14ac:dyDescent="0.35">
      <c r="A99">
        <v>98</v>
      </c>
      <c r="B99">
        <v>22</v>
      </c>
      <c r="C99" t="s">
        <v>2</v>
      </c>
      <c r="D99" t="s">
        <v>12</v>
      </c>
      <c r="E99" s="1">
        <v>300</v>
      </c>
      <c r="F99" t="s">
        <v>5</v>
      </c>
      <c r="G99" t="s">
        <v>4</v>
      </c>
      <c r="H99" t="s">
        <v>5</v>
      </c>
      <c r="I99" t="s">
        <v>14</v>
      </c>
      <c r="J99" t="s">
        <v>9</v>
      </c>
      <c r="K99" t="s">
        <v>9</v>
      </c>
      <c r="L99" t="s">
        <v>8</v>
      </c>
      <c r="M99" t="s">
        <v>8</v>
      </c>
      <c r="N99" t="s">
        <v>10</v>
      </c>
    </row>
    <row r="100" spans="1:14" x14ac:dyDescent="0.35">
      <c r="A100">
        <v>99</v>
      </c>
      <c r="B100">
        <v>29</v>
      </c>
      <c r="C100" t="s">
        <v>2</v>
      </c>
      <c r="D100" t="s">
        <v>15</v>
      </c>
      <c r="E100" s="1">
        <v>300</v>
      </c>
      <c r="F100" t="s">
        <v>5</v>
      </c>
      <c r="G100" t="s">
        <v>5</v>
      </c>
      <c r="H100" t="s">
        <v>6</v>
      </c>
      <c r="I100" t="s">
        <v>7</v>
      </c>
      <c r="J100" t="s">
        <v>8</v>
      </c>
      <c r="K100" t="s">
        <v>9</v>
      </c>
      <c r="L100" t="s">
        <v>8</v>
      </c>
      <c r="M100" t="s">
        <v>9</v>
      </c>
      <c r="N100" t="s">
        <v>10</v>
      </c>
    </row>
    <row r="101" spans="1:14" x14ac:dyDescent="0.35">
      <c r="A101">
        <v>100</v>
      </c>
      <c r="B101">
        <v>42</v>
      </c>
      <c r="C101" t="s">
        <v>17</v>
      </c>
      <c r="D101" t="s">
        <v>12</v>
      </c>
      <c r="E101" s="1">
        <v>400</v>
      </c>
      <c r="F101" t="s">
        <v>5</v>
      </c>
      <c r="G101" t="s">
        <v>4</v>
      </c>
      <c r="H101" t="s">
        <v>6</v>
      </c>
      <c r="I101" t="s">
        <v>14</v>
      </c>
      <c r="J101" t="s">
        <v>8</v>
      </c>
      <c r="K101" t="s">
        <v>8</v>
      </c>
      <c r="L101" t="s">
        <v>8</v>
      </c>
      <c r="M101" t="s">
        <v>8</v>
      </c>
      <c r="N101" t="s">
        <v>10</v>
      </c>
    </row>
    <row r="102" spans="1:14" x14ac:dyDescent="0.35">
      <c r="A102">
        <v>101</v>
      </c>
      <c r="B102">
        <v>38</v>
      </c>
      <c r="C102" t="s">
        <v>2</v>
      </c>
      <c r="D102" t="s">
        <v>11</v>
      </c>
      <c r="E102" s="1">
        <v>250</v>
      </c>
      <c r="F102" t="s">
        <v>5</v>
      </c>
      <c r="G102" t="s">
        <v>5</v>
      </c>
      <c r="H102" t="s">
        <v>6</v>
      </c>
      <c r="I102" t="s">
        <v>7</v>
      </c>
      <c r="J102" t="s">
        <v>8</v>
      </c>
      <c r="K102" t="s">
        <v>9</v>
      </c>
      <c r="L102" t="s">
        <v>8</v>
      </c>
      <c r="M102" t="s">
        <v>9</v>
      </c>
      <c r="N102" t="s">
        <v>10</v>
      </c>
    </row>
    <row r="103" spans="1:14" x14ac:dyDescent="0.35">
      <c r="A103">
        <v>102</v>
      </c>
      <c r="B103">
        <v>33</v>
      </c>
      <c r="C103" t="s">
        <v>16</v>
      </c>
      <c r="D103" t="s">
        <v>15</v>
      </c>
      <c r="E103" s="1">
        <v>350</v>
      </c>
      <c r="F103" t="s">
        <v>5</v>
      </c>
      <c r="G103" t="s">
        <v>4</v>
      </c>
      <c r="H103" t="s">
        <v>6</v>
      </c>
      <c r="I103" t="s">
        <v>14</v>
      </c>
      <c r="J103" t="s">
        <v>8</v>
      </c>
      <c r="K103" t="s">
        <v>9</v>
      </c>
      <c r="L103" t="s">
        <v>9</v>
      </c>
      <c r="M103" t="s">
        <v>9</v>
      </c>
      <c r="N103" t="s">
        <v>10</v>
      </c>
    </row>
    <row r="104" spans="1:14" x14ac:dyDescent="0.35">
      <c r="A104">
        <v>103</v>
      </c>
      <c r="B104">
        <v>38</v>
      </c>
      <c r="C104" t="s">
        <v>2</v>
      </c>
      <c r="D104" t="s">
        <v>15</v>
      </c>
      <c r="E104" s="1">
        <v>400</v>
      </c>
      <c r="F104" t="s">
        <v>6</v>
      </c>
      <c r="G104" t="s">
        <v>30</v>
      </c>
      <c r="H104" t="s">
        <v>30</v>
      </c>
      <c r="I104" t="s">
        <v>7</v>
      </c>
      <c r="J104" t="s">
        <v>9</v>
      </c>
      <c r="K104" t="s">
        <v>9</v>
      </c>
      <c r="L104" t="s">
        <v>9</v>
      </c>
      <c r="M104" t="s">
        <v>9</v>
      </c>
      <c r="N104" t="s">
        <v>10</v>
      </c>
    </row>
    <row r="105" spans="1:14" x14ac:dyDescent="0.35">
      <c r="A105">
        <v>104</v>
      </c>
      <c r="B105">
        <v>29</v>
      </c>
      <c r="C105" t="s">
        <v>2</v>
      </c>
      <c r="D105" t="s">
        <v>15</v>
      </c>
      <c r="E105" s="1">
        <v>850</v>
      </c>
      <c r="F105" t="s">
        <v>5</v>
      </c>
      <c r="G105" t="s">
        <v>5</v>
      </c>
      <c r="H105" t="s">
        <v>5</v>
      </c>
      <c r="I105" t="s">
        <v>7</v>
      </c>
      <c r="J105" t="s">
        <v>8</v>
      </c>
      <c r="K105" t="s">
        <v>8</v>
      </c>
      <c r="L105" t="s">
        <v>8</v>
      </c>
      <c r="M105" t="s">
        <v>8</v>
      </c>
      <c r="N105" t="s">
        <v>10</v>
      </c>
    </row>
    <row r="106" spans="1:14" x14ac:dyDescent="0.35">
      <c r="A106">
        <v>105</v>
      </c>
      <c r="B106">
        <v>24</v>
      </c>
      <c r="C106" t="s">
        <v>2</v>
      </c>
      <c r="D106" t="s">
        <v>11</v>
      </c>
      <c r="E106" s="1">
        <v>600</v>
      </c>
      <c r="F106" t="s">
        <v>5</v>
      </c>
      <c r="G106" t="s">
        <v>5</v>
      </c>
      <c r="H106" t="s">
        <v>5</v>
      </c>
      <c r="I106" t="s">
        <v>7</v>
      </c>
      <c r="J106" t="s">
        <v>8</v>
      </c>
      <c r="K106" t="s">
        <v>8</v>
      </c>
      <c r="L106" t="s">
        <v>8</v>
      </c>
      <c r="M106" t="s">
        <v>8</v>
      </c>
      <c r="N106" t="s">
        <v>10</v>
      </c>
    </row>
    <row r="107" spans="1:14" x14ac:dyDescent="0.35">
      <c r="A107">
        <v>106</v>
      </c>
      <c r="B107">
        <v>28</v>
      </c>
      <c r="C107" t="s">
        <v>17</v>
      </c>
      <c r="D107" t="s">
        <v>15</v>
      </c>
      <c r="E107" s="1">
        <v>1300</v>
      </c>
      <c r="F107" t="s">
        <v>5</v>
      </c>
      <c r="G107" t="s">
        <v>4</v>
      </c>
      <c r="H107" t="s">
        <v>5</v>
      </c>
      <c r="I107" t="s">
        <v>14</v>
      </c>
      <c r="J107" t="s">
        <v>9</v>
      </c>
      <c r="K107" t="s">
        <v>9</v>
      </c>
      <c r="L107" t="s">
        <v>9</v>
      </c>
      <c r="M107" t="s">
        <v>9</v>
      </c>
      <c r="N107" t="s">
        <v>10</v>
      </c>
    </row>
    <row r="108" spans="1:14" x14ac:dyDescent="0.35">
      <c r="A108">
        <v>107</v>
      </c>
      <c r="B108">
        <v>42</v>
      </c>
      <c r="C108" t="s">
        <v>17</v>
      </c>
      <c r="D108" t="s">
        <v>12</v>
      </c>
      <c r="E108" s="1">
        <v>400</v>
      </c>
      <c r="F108" t="s">
        <v>5</v>
      </c>
      <c r="G108" t="s">
        <v>4</v>
      </c>
      <c r="H108" t="s">
        <v>6</v>
      </c>
      <c r="I108" t="s">
        <v>7</v>
      </c>
      <c r="J108" t="s">
        <v>8</v>
      </c>
      <c r="K108" t="s">
        <v>8</v>
      </c>
      <c r="L108" t="s">
        <v>8</v>
      </c>
      <c r="M108" t="s">
        <v>8</v>
      </c>
      <c r="N108" t="s">
        <v>10</v>
      </c>
    </row>
    <row r="109" spans="1:14" x14ac:dyDescent="0.35">
      <c r="A109">
        <v>108</v>
      </c>
      <c r="B109">
        <v>32</v>
      </c>
      <c r="C109" t="s">
        <v>2</v>
      </c>
      <c r="D109" t="s">
        <v>3</v>
      </c>
      <c r="E109" s="1">
        <v>300</v>
      </c>
      <c r="F109" t="s">
        <v>5</v>
      </c>
      <c r="G109" t="s">
        <v>5</v>
      </c>
      <c r="H109" t="s">
        <v>6</v>
      </c>
      <c r="I109" t="s">
        <v>7</v>
      </c>
      <c r="J109" t="s">
        <v>9</v>
      </c>
      <c r="K109" t="s">
        <v>9</v>
      </c>
      <c r="L109" t="s">
        <v>9</v>
      </c>
      <c r="M109" t="s">
        <v>9</v>
      </c>
      <c r="N109" t="s">
        <v>10</v>
      </c>
    </row>
    <row r="110" spans="1:14" x14ac:dyDescent="0.35">
      <c r="A110">
        <v>109</v>
      </c>
      <c r="B110">
        <v>27</v>
      </c>
      <c r="C110" t="s">
        <v>2</v>
      </c>
      <c r="D110" t="s">
        <v>11</v>
      </c>
      <c r="E110" s="1">
        <v>1800</v>
      </c>
      <c r="F110" t="s">
        <v>5</v>
      </c>
      <c r="G110" t="s">
        <v>5</v>
      </c>
      <c r="H110" t="s">
        <v>5</v>
      </c>
      <c r="I110" t="s">
        <v>14</v>
      </c>
      <c r="J110" t="s">
        <v>9</v>
      </c>
      <c r="K110" t="s">
        <v>9</v>
      </c>
      <c r="L110" t="s">
        <v>9</v>
      </c>
      <c r="M110" t="s">
        <v>9</v>
      </c>
      <c r="N110" t="s">
        <v>10</v>
      </c>
    </row>
    <row r="111" spans="1:14" x14ac:dyDescent="0.35">
      <c r="A111">
        <v>110</v>
      </c>
      <c r="B111">
        <v>28</v>
      </c>
      <c r="C111" t="s">
        <v>2</v>
      </c>
      <c r="D111" t="s">
        <v>15</v>
      </c>
      <c r="E111" s="1">
        <v>300</v>
      </c>
      <c r="F111" t="s">
        <v>5</v>
      </c>
      <c r="G111" t="s">
        <v>5</v>
      </c>
      <c r="H111" t="s">
        <v>6</v>
      </c>
      <c r="I111" t="s">
        <v>7</v>
      </c>
      <c r="J111" t="s">
        <v>9</v>
      </c>
      <c r="K111" t="s">
        <v>9</v>
      </c>
      <c r="L111" t="s">
        <v>9</v>
      </c>
      <c r="M111" t="s">
        <v>8</v>
      </c>
      <c r="N111" t="s">
        <v>10</v>
      </c>
    </row>
    <row r="112" spans="1:14" x14ac:dyDescent="0.35">
      <c r="A112">
        <v>111</v>
      </c>
      <c r="B112">
        <v>23</v>
      </c>
      <c r="C112" t="s">
        <v>2</v>
      </c>
      <c r="D112" t="s">
        <v>12</v>
      </c>
      <c r="E112" s="1">
        <v>400</v>
      </c>
      <c r="F112" t="s">
        <v>5</v>
      </c>
      <c r="G112" t="s">
        <v>4</v>
      </c>
      <c r="H112" t="s">
        <v>5</v>
      </c>
      <c r="I112" t="s">
        <v>14</v>
      </c>
      <c r="J112" t="s">
        <v>9</v>
      </c>
      <c r="K112" t="s">
        <v>9</v>
      </c>
      <c r="L112" t="s">
        <v>9</v>
      </c>
      <c r="M112" t="s">
        <v>9</v>
      </c>
      <c r="N112" t="s">
        <v>10</v>
      </c>
    </row>
    <row r="113" spans="1:14" x14ac:dyDescent="0.35">
      <c r="A113">
        <v>112</v>
      </c>
      <c r="B113">
        <v>29</v>
      </c>
      <c r="C113" t="s">
        <v>2</v>
      </c>
      <c r="D113" t="s">
        <v>15</v>
      </c>
      <c r="E113" s="1">
        <v>300</v>
      </c>
      <c r="F113" t="s">
        <v>5</v>
      </c>
      <c r="G113" t="s">
        <v>5</v>
      </c>
      <c r="H113" t="s">
        <v>6</v>
      </c>
      <c r="I113" t="s">
        <v>14</v>
      </c>
      <c r="J113" t="s">
        <v>9</v>
      </c>
      <c r="K113" t="s">
        <v>9</v>
      </c>
      <c r="L113" t="s">
        <v>9</v>
      </c>
      <c r="M113" t="s">
        <v>9</v>
      </c>
      <c r="N113" t="s">
        <v>10</v>
      </c>
    </row>
    <row r="114" spans="1:14" x14ac:dyDescent="0.35">
      <c r="A114">
        <v>113</v>
      </c>
      <c r="B114">
        <v>29</v>
      </c>
      <c r="C114" t="s">
        <v>2</v>
      </c>
      <c r="D114" t="s">
        <v>12</v>
      </c>
      <c r="E114" s="1">
        <v>450</v>
      </c>
      <c r="F114" t="s">
        <v>5</v>
      </c>
      <c r="G114" t="s">
        <v>5</v>
      </c>
      <c r="H114" t="s">
        <v>6</v>
      </c>
      <c r="I114" t="s">
        <v>14</v>
      </c>
      <c r="J114" t="s">
        <v>8</v>
      </c>
      <c r="K114" t="s">
        <v>9</v>
      </c>
      <c r="L114" t="s">
        <v>8</v>
      </c>
      <c r="M114" t="s">
        <v>8</v>
      </c>
      <c r="N114" t="s">
        <v>10</v>
      </c>
    </row>
    <row r="115" spans="1:14" x14ac:dyDescent="0.35">
      <c r="A115">
        <v>114</v>
      </c>
      <c r="B115">
        <v>35</v>
      </c>
      <c r="C115" t="s">
        <v>2</v>
      </c>
      <c r="D115" t="s">
        <v>12</v>
      </c>
      <c r="E115" s="1">
        <v>800</v>
      </c>
      <c r="F115" t="s">
        <v>6</v>
      </c>
      <c r="G115" t="s">
        <v>30</v>
      </c>
      <c r="H115" t="s">
        <v>30</v>
      </c>
      <c r="I115" t="s">
        <v>7</v>
      </c>
      <c r="J115" t="s">
        <v>8</v>
      </c>
      <c r="K115" t="s">
        <v>8</v>
      </c>
      <c r="L115" t="s">
        <v>8</v>
      </c>
      <c r="M115" t="s">
        <v>8</v>
      </c>
      <c r="N115" t="s">
        <v>10</v>
      </c>
    </row>
    <row r="116" spans="1:14" x14ac:dyDescent="0.35">
      <c r="A116">
        <v>115</v>
      </c>
      <c r="B116">
        <v>38</v>
      </c>
      <c r="C116" t="s">
        <v>2</v>
      </c>
      <c r="D116" t="s">
        <v>11</v>
      </c>
      <c r="E116" s="1">
        <v>800</v>
      </c>
      <c r="F116" t="s">
        <v>6</v>
      </c>
      <c r="G116" t="s">
        <v>30</v>
      </c>
      <c r="H116" t="s">
        <v>30</v>
      </c>
      <c r="I116" t="s">
        <v>7</v>
      </c>
      <c r="J116" t="s">
        <v>8</v>
      </c>
      <c r="K116" t="s">
        <v>8</v>
      </c>
      <c r="L116" t="s">
        <v>8</v>
      </c>
      <c r="M116" t="s">
        <v>8</v>
      </c>
      <c r="N116" t="s">
        <v>10</v>
      </c>
    </row>
    <row r="117" spans="1:14" x14ac:dyDescent="0.35">
      <c r="A117">
        <v>116</v>
      </c>
      <c r="B117">
        <v>30</v>
      </c>
      <c r="C117" t="s">
        <v>2</v>
      </c>
      <c r="D117" t="s">
        <v>3</v>
      </c>
      <c r="E117" s="1">
        <v>500</v>
      </c>
      <c r="F117" t="s">
        <v>5</v>
      </c>
      <c r="G117" t="s">
        <v>5</v>
      </c>
      <c r="H117" t="s">
        <v>5</v>
      </c>
      <c r="I117" t="s">
        <v>7</v>
      </c>
      <c r="J117" t="s">
        <v>9</v>
      </c>
      <c r="K117" t="s">
        <v>9</v>
      </c>
      <c r="L117" t="s">
        <v>9</v>
      </c>
      <c r="M117" t="s">
        <v>9</v>
      </c>
      <c r="N117" t="s">
        <v>10</v>
      </c>
    </row>
    <row r="118" spans="1:14" x14ac:dyDescent="0.35">
      <c r="A118">
        <v>117</v>
      </c>
      <c r="B118">
        <v>21</v>
      </c>
      <c r="C118" t="s">
        <v>2</v>
      </c>
      <c r="D118" t="s">
        <v>3</v>
      </c>
      <c r="E118" s="1">
        <v>1000</v>
      </c>
      <c r="F118" t="s">
        <v>5</v>
      </c>
      <c r="G118" t="s">
        <v>5</v>
      </c>
      <c r="H118" t="s">
        <v>5</v>
      </c>
      <c r="I118" t="s">
        <v>14</v>
      </c>
      <c r="J118" t="s">
        <v>8</v>
      </c>
      <c r="K118" t="s">
        <v>8</v>
      </c>
      <c r="L118" t="s">
        <v>8</v>
      </c>
      <c r="M118" t="s">
        <v>8</v>
      </c>
      <c r="N118" t="s">
        <v>10</v>
      </c>
    </row>
    <row r="119" spans="1:14" x14ac:dyDescent="0.35">
      <c r="A119">
        <v>118</v>
      </c>
      <c r="B119">
        <v>32</v>
      </c>
      <c r="C119" t="s">
        <v>2</v>
      </c>
      <c r="D119" t="s">
        <v>11</v>
      </c>
      <c r="E119" s="1">
        <v>800</v>
      </c>
      <c r="F119" t="s">
        <v>6</v>
      </c>
      <c r="G119" t="s">
        <v>30</v>
      </c>
      <c r="H119" t="s">
        <v>30</v>
      </c>
      <c r="I119" t="s">
        <v>7</v>
      </c>
      <c r="J119" t="s">
        <v>9</v>
      </c>
      <c r="K119" t="s">
        <v>9</v>
      </c>
      <c r="L119" t="s">
        <v>8</v>
      </c>
      <c r="M119" t="s">
        <v>9</v>
      </c>
      <c r="N119" t="s">
        <v>10</v>
      </c>
    </row>
    <row r="120" spans="1:14" x14ac:dyDescent="0.35">
      <c r="A120">
        <v>119</v>
      </c>
      <c r="B120">
        <v>24</v>
      </c>
      <c r="C120" t="s">
        <v>2</v>
      </c>
      <c r="D120" t="s">
        <v>3</v>
      </c>
      <c r="E120" s="1">
        <v>450</v>
      </c>
      <c r="F120" t="s">
        <v>5</v>
      </c>
      <c r="G120" t="s">
        <v>5</v>
      </c>
      <c r="H120" t="s">
        <v>6</v>
      </c>
      <c r="I120" t="s">
        <v>7</v>
      </c>
      <c r="J120" t="s">
        <v>8</v>
      </c>
      <c r="K120" t="s">
        <v>9</v>
      </c>
      <c r="L120" t="s">
        <v>8</v>
      </c>
      <c r="M120" t="s">
        <v>8</v>
      </c>
      <c r="N120" t="s">
        <v>10</v>
      </c>
    </row>
    <row r="121" spans="1:14" x14ac:dyDescent="0.35">
      <c r="A121">
        <v>120</v>
      </c>
      <c r="B121">
        <v>28</v>
      </c>
      <c r="C121" t="s">
        <v>2</v>
      </c>
      <c r="D121" t="s">
        <v>11</v>
      </c>
      <c r="E121" s="1">
        <v>3000</v>
      </c>
      <c r="F121" t="s">
        <v>5</v>
      </c>
      <c r="G121" t="s">
        <v>5</v>
      </c>
      <c r="H121" t="s">
        <v>6</v>
      </c>
      <c r="I121" t="s">
        <v>14</v>
      </c>
      <c r="J121" t="s">
        <v>9</v>
      </c>
      <c r="K121" t="s">
        <v>9</v>
      </c>
      <c r="L121" t="s">
        <v>8</v>
      </c>
      <c r="M121" t="s">
        <v>8</v>
      </c>
      <c r="N121" t="s">
        <v>10</v>
      </c>
    </row>
    <row r="122" spans="1:14" x14ac:dyDescent="0.35">
      <c r="A122">
        <v>121</v>
      </c>
      <c r="B122">
        <v>26</v>
      </c>
      <c r="C122" t="s">
        <v>2</v>
      </c>
      <c r="D122" t="s">
        <v>12</v>
      </c>
      <c r="E122" s="1">
        <v>400</v>
      </c>
      <c r="F122" t="s">
        <v>5</v>
      </c>
      <c r="G122" t="s">
        <v>5</v>
      </c>
      <c r="H122" t="s">
        <v>6</v>
      </c>
      <c r="I122" t="s">
        <v>14</v>
      </c>
      <c r="J122" t="s">
        <v>9</v>
      </c>
      <c r="K122" t="s">
        <v>9</v>
      </c>
      <c r="L122" t="s">
        <v>8</v>
      </c>
      <c r="M122" t="s">
        <v>9</v>
      </c>
      <c r="N122" t="s">
        <v>10</v>
      </c>
    </row>
    <row r="123" spans="1:14" x14ac:dyDescent="0.35">
      <c r="A123">
        <v>122</v>
      </c>
      <c r="B123">
        <v>26</v>
      </c>
      <c r="C123" t="s">
        <v>2</v>
      </c>
      <c r="D123" t="s">
        <v>11</v>
      </c>
      <c r="E123" s="1">
        <v>300</v>
      </c>
      <c r="F123" t="s">
        <v>5</v>
      </c>
      <c r="G123" t="s">
        <v>4</v>
      </c>
      <c r="H123" t="s">
        <v>6</v>
      </c>
      <c r="I123" t="s">
        <v>14</v>
      </c>
      <c r="J123" t="s">
        <v>9</v>
      </c>
      <c r="K123" t="s">
        <v>9</v>
      </c>
      <c r="L123" t="s">
        <v>9</v>
      </c>
      <c r="M123" t="s">
        <v>9</v>
      </c>
      <c r="N123" t="s">
        <v>10</v>
      </c>
    </row>
    <row r="124" spans="1:14" x14ac:dyDescent="0.35">
      <c r="A124">
        <v>123</v>
      </c>
      <c r="B124">
        <v>25</v>
      </c>
      <c r="C124" t="s">
        <v>2</v>
      </c>
      <c r="D124" t="s">
        <v>12</v>
      </c>
      <c r="E124" s="1">
        <v>600</v>
      </c>
      <c r="F124" t="s">
        <v>5</v>
      </c>
      <c r="G124" t="s">
        <v>5</v>
      </c>
      <c r="H124" t="s">
        <v>6</v>
      </c>
      <c r="I124" t="s">
        <v>14</v>
      </c>
      <c r="J124" t="s">
        <v>9</v>
      </c>
      <c r="K124" t="s">
        <v>9</v>
      </c>
      <c r="L124" t="s">
        <v>8</v>
      </c>
      <c r="M124" t="s">
        <v>9</v>
      </c>
      <c r="N124" t="s">
        <v>10</v>
      </c>
    </row>
    <row r="125" spans="1:14" x14ac:dyDescent="0.35">
      <c r="A125">
        <v>124</v>
      </c>
      <c r="B125">
        <v>30</v>
      </c>
      <c r="C125" t="s">
        <v>2</v>
      </c>
      <c r="D125" t="s">
        <v>11</v>
      </c>
      <c r="E125" s="1">
        <v>550</v>
      </c>
      <c r="F125" t="s">
        <v>5</v>
      </c>
      <c r="G125" t="s">
        <v>4</v>
      </c>
      <c r="H125" t="s">
        <v>6</v>
      </c>
      <c r="I125" t="s">
        <v>7</v>
      </c>
      <c r="J125" t="s">
        <v>9</v>
      </c>
      <c r="K125" t="s">
        <v>9</v>
      </c>
      <c r="L125" t="s">
        <v>9</v>
      </c>
      <c r="M125" t="s">
        <v>9</v>
      </c>
      <c r="N125" t="s">
        <v>10</v>
      </c>
    </row>
    <row r="126" spans="1:14" x14ac:dyDescent="0.35">
      <c r="A126">
        <v>125</v>
      </c>
      <c r="B126">
        <v>18</v>
      </c>
      <c r="C126" t="s">
        <v>2</v>
      </c>
      <c r="D126" t="s">
        <v>3</v>
      </c>
      <c r="E126" s="1">
        <v>250</v>
      </c>
      <c r="F126" t="s">
        <v>5</v>
      </c>
      <c r="G126" t="s">
        <v>5</v>
      </c>
      <c r="H126" t="s">
        <v>6</v>
      </c>
      <c r="I126" t="s">
        <v>14</v>
      </c>
      <c r="J126" t="s">
        <v>9</v>
      </c>
      <c r="K126" t="s">
        <v>9</v>
      </c>
      <c r="L126" t="s">
        <v>9</v>
      </c>
      <c r="M126" t="s">
        <v>9</v>
      </c>
      <c r="N126" t="s">
        <v>10</v>
      </c>
    </row>
    <row r="127" spans="1:14" x14ac:dyDescent="0.35">
      <c r="A127">
        <v>126</v>
      </c>
      <c r="B127">
        <v>31</v>
      </c>
      <c r="C127" t="s">
        <v>2</v>
      </c>
      <c r="D127" t="s">
        <v>15</v>
      </c>
      <c r="E127" s="1">
        <v>1000</v>
      </c>
      <c r="F127" t="s">
        <v>5</v>
      </c>
      <c r="G127" t="s">
        <v>5</v>
      </c>
      <c r="H127" t="s">
        <v>6</v>
      </c>
      <c r="I127" t="s">
        <v>7</v>
      </c>
      <c r="J127" t="s">
        <v>8</v>
      </c>
      <c r="K127" t="s">
        <v>8</v>
      </c>
      <c r="L127" t="s">
        <v>8</v>
      </c>
      <c r="M127" t="s">
        <v>8</v>
      </c>
      <c r="N127" t="s">
        <v>10</v>
      </c>
    </row>
    <row r="128" spans="1:14" x14ac:dyDescent="0.35">
      <c r="A128">
        <v>127</v>
      </c>
      <c r="B128">
        <v>20</v>
      </c>
      <c r="C128" t="s">
        <v>2</v>
      </c>
      <c r="D128" t="s">
        <v>12</v>
      </c>
      <c r="E128" s="1">
        <v>200</v>
      </c>
      <c r="F128" t="s">
        <v>5</v>
      </c>
      <c r="G128" t="s">
        <v>4</v>
      </c>
      <c r="H128" t="s">
        <v>5</v>
      </c>
      <c r="I128" t="s">
        <v>14</v>
      </c>
      <c r="J128" t="s">
        <v>9</v>
      </c>
      <c r="K128" t="s">
        <v>9</v>
      </c>
      <c r="L128" t="s">
        <v>9</v>
      </c>
      <c r="M128" t="s">
        <v>9</v>
      </c>
      <c r="N128" t="s">
        <v>10</v>
      </c>
    </row>
    <row r="129" spans="1:14" x14ac:dyDescent="0.35">
      <c r="A129">
        <v>128</v>
      </c>
      <c r="B129">
        <v>20</v>
      </c>
      <c r="C129" t="s">
        <v>2</v>
      </c>
      <c r="D129" t="s">
        <v>15</v>
      </c>
      <c r="E129" s="1">
        <v>300</v>
      </c>
      <c r="F129" t="s">
        <v>5</v>
      </c>
      <c r="G129" t="s">
        <v>5</v>
      </c>
      <c r="H129" t="s">
        <v>6</v>
      </c>
      <c r="I129" t="s">
        <v>7</v>
      </c>
      <c r="J129" t="s">
        <v>9</v>
      </c>
      <c r="K129" t="s">
        <v>9</v>
      </c>
      <c r="L129" t="s">
        <v>9</v>
      </c>
      <c r="M129" t="s">
        <v>9</v>
      </c>
      <c r="N129" t="s">
        <v>10</v>
      </c>
    </row>
    <row r="130" spans="1:14" x14ac:dyDescent="0.35">
      <c r="A130">
        <v>129</v>
      </c>
      <c r="B130">
        <v>18</v>
      </c>
      <c r="C130" t="s">
        <v>2</v>
      </c>
      <c r="D130" t="s">
        <v>12</v>
      </c>
      <c r="E130" s="1">
        <v>200</v>
      </c>
      <c r="F130" t="s">
        <v>5</v>
      </c>
      <c r="G130" t="s">
        <v>5</v>
      </c>
      <c r="H130" t="s">
        <v>6</v>
      </c>
      <c r="I130" t="s">
        <v>14</v>
      </c>
      <c r="J130" t="s">
        <v>9</v>
      </c>
      <c r="K130" t="s">
        <v>9</v>
      </c>
      <c r="L130" t="s">
        <v>9</v>
      </c>
      <c r="M130" t="s">
        <v>9</v>
      </c>
      <c r="N130" t="s">
        <v>10</v>
      </c>
    </row>
    <row r="131" spans="1:14" x14ac:dyDescent="0.35">
      <c r="A131">
        <v>130</v>
      </c>
      <c r="B131">
        <v>34</v>
      </c>
      <c r="C131" t="s">
        <v>2</v>
      </c>
      <c r="D131" t="s">
        <v>11</v>
      </c>
      <c r="E131" s="1">
        <v>600</v>
      </c>
      <c r="F131" t="s">
        <v>5</v>
      </c>
      <c r="G131" t="s">
        <v>5</v>
      </c>
      <c r="H131" t="s">
        <v>6</v>
      </c>
      <c r="I131" t="s">
        <v>14</v>
      </c>
      <c r="J131" t="s">
        <v>9</v>
      </c>
      <c r="K131" t="s">
        <v>9</v>
      </c>
      <c r="L131" t="s">
        <v>9</v>
      </c>
      <c r="M131" t="s">
        <v>9</v>
      </c>
      <c r="N131" t="s">
        <v>10</v>
      </c>
    </row>
    <row r="132" spans="1:14" x14ac:dyDescent="0.35">
      <c r="A132">
        <v>131</v>
      </c>
      <c r="B132">
        <v>29</v>
      </c>
      <c r="C132" t="s">
        <v>2</v>
      </c>
      <c r="D132" t="s">
        <v>15</v>
      </c>
      <c r="E132" s="1">
        <v>1000</v>
      </c>
      <c r="F132" t="s">
        <v>5</v>
      </c>
      <c r="G132" t="s">
        <v>5</v>
      </c>
      <c r="H132" t="s">
        <v>5</v>
      </c>
      <c r="I132" t="s">
        <v>7</v>
      </c>
      <c r="J132" t="s">
        <v>8</v>
      </c>
      <c r="K132" t="s">
        <v>8</v>
      </c>
      <c r="L132" t="s">
        <v>8</v>
      </c>
      <c r="M132" t="s">
        <v>8</v>
      </c>
      <c r="N132" t="s">
        <v>10</v>
      </c>
    </row>
    <row r="133" spans="1:14" x14ac:dyDescent="0.35">
      <c r="A133">
        <v>132</v>
      </c>
      <c r="B133">
        <v>28</v>
      </c>
      <c r="C133" t="s">
        <v>2</v>
      </c>
      <c r="D133" t="s">
        <v>15</v>
      </c>
      <c r="E133" s="1">
        <v>200</v>
      </c>
      <c r="F133" t="s">
        <v>5</v>
      </c>
      <c r="G133" t="s">
        <v>5</v>
      </c>
      <c r="H133" t="s">
        <v>6</v>
      </c>
      <c r="I133" t="s">
        <v>14</v>
      </c>
      <c r="J133" t="s">
        <v>9</v>
      </c>
      <c r="K133" t="s">
        <v>9</v>
      </c>
      <c r="L133" t="s">
        <v>9</v>
      </c>
      <c r="M133" t="s">
        <v>8</v>
      </c>
      <c r="N133" t="s">
        <v>10</v>
      </c>
    </row>
    <row r="134" spans="1:14" x14ac:dyDescent="0.35">
      <c r="A134">
        <v>133</v>
      </c>
      <c r="B134">
        <v>22</v>
      </c>
      <c r="C134" t="s">
        <v>2</v>
      </c>
      <c r="D134" t="s">
        <v>12</v>
      </c>
      <c r="E134" s="1">
        <v>150</v>
      </c>
      <c r="F134" t="s">
        <v>5</v>
      </c>
      <c r="G134" t="s">
        <v>4</v>
      </c>
      <c r="H134" t="s">
        <v>6</v>
      </c>
      <c r="I134" t="s">
        <v>14</v>
      </c>
      <c r="J134" t="s">
        <v>9</v>
      </c>
      <c r="K134" t="s">
        <v>9</v>
      </c>
      <c r="L134" t="s">
        <v>9</v>
      </c>
      <c r="M134" t="s">
        <v>9</v>
      </c>
      <c r="N134" t="s">
        <v>10</v>
      </c>
    </row>
    <row r="135" spans="1:14" x14ac:dyDescent="0.35">
      <c r="A135">
        <v>134</v>
      </c>
      <c r="B135">
        <v>30</v>
      </c>
      <c r="C135" t="s">
        <v>2</v>
      </c>
      <c r="D135" t="s">
        <v>3</v>
      </c>
      <c r="E135" s="1">
        <v>300</v>
      </c>
      <c r="F135" t="s">
        <v>5</v>
      </c>
      <c r="G135" t="s">
        <v>4</v>
      </c>
      <c r="H135" t="s">
        <v>6</v>
      </c>
      <c r="I135" t="s">
        <v>14</v>
      </c>
      <c r="J135" t="s">
        <v>9</v>
      </c>
      <c r="K135" t="s">
        <v>9</v>
      </c>
      <c r="L135" t="s">
        <v>9</v>
      </c>
      <c r="M135" t="s">
        <v>9</v>
      </c>
      <c r="N135" t="s">
        <v>10</v>
      </c>
    </row>
    <row r="136" spans="1:14" x14ac:dyDescent="0.35">
      <c r="A136">
        <v>135</v>
      </c>
      <c r="B136">
        <v>30</v>
      </c>
      <c r="C136" t="s">
        <v>2</v>
      </c>
      <c r="D136" t="s">
        <v>11</v>
      </c>
      <c r="E136" s="1">
        <v>600</v>
      </c>
      <c r="F136" t="s">
        <v>5</v>
      </c>
      <c r="G136" t="s">
        <v>4</v>
      </c>
      <c r="H136" t="s">
        <v>6</v>
      </c>
      <c r="I136" t="s">
        <v>14</v>
      </c>
      <c r="J136" t="s">
        <v>9</v>
      </c>
      <c r="K136" t="s">
        <v>9</v>
      </c>
      <c r="L136" t="s">
        <v>9</v>
      </c>
      <c r="M136" t="s">
        <v>8</v>
      </c>
      <c r="N136" t="s">
        <v>10</v>
      </c>
    </row>
    <row r="137" spans="1:14" x14ac:dyDescent="0.35">
      <c r="A137">
        <v>136</v>
      </c>
      <c r="B137">
        <v>27</v>
      </c>
      <c r="C137" t="s">
        <v>2</v>
      </c>
      <c r="D137" t="s">
        <v>15</v>
      </c>
      <c r="E137" s="1">
        <v>450</v>
      </c>
      <c r="F137" t="s">
        <v>5</v>
      </c>
      <c r="G137" t="s">
        <v>5</v>
      </c>
      <c r="H137" t="s">
        <v>5</v>
      </c>
      <c r="I137" t="s">
        <v>7</v>
      </c>
      <c r="J137" t="s">
        <v>8</v>
      </c>
      <c r="K137" t="s">
        <v>8</v>
      </c>
      <c r="L137" t="s">
        <v>8</v>
      </c>
      <c r="M137" t="s">
        <v>8</v>
      </c>
      <c r="N137" t="s">
        <v>10</v>
      </c>
    </row>
    <row r="138" spans="1:14" x14ac:dyDescent="0.35">
      <c r="A138">
        <v>137</v>
      </c>
      <c r="B138">
        <v>32</v>
      </c>
      <c r="C138" t="s">
        <v>2</v>
      </c>
      <c r="D138" t="s">
        <v>3</v>
      </c>
      <c r="E138" s="1">
        <v>200</v>
      </c>
      <c r="F138" t="s">
        <v>5</v>
      </c>
      <c r="G138" t="s">
        <v>4</v>
      </c>
      <c r="H138" t="s">
        <v>5</v>
      </c>
      <c r="I138" t="s">
        <v>14</v>
      </c>
      <c r="J138" t="s">
        <v>9</v>
      </c>
      <c r="K138" t="s">
        <v>9</v>
      </c>
      <c r="L138" t="s">
        <v>9</v>
      </c>
      <c r="M138" t="s">
        <v>9</v>
      </c>
      <c r="N138" t="s">
        <v>10</v>
      </c>
    </row>
    <row r="139" spans="1:14" x14ac:dyDescent="0.35">
      <c r="A139">
        <v>138</v>
      </c>
      <c r="B139">
        <v>31</v>
      </c>
      <c r="C139" t="s">
        <v>2</v>
      </c>
      <c r="D139" t="s">
        <v>15</v>
      </c>
      <c r="E139" s="1">
        <v>600</v>
      </c>
      <c r="F139" t="s">
        <v>5</v>
      </c>
      <c r="G139" t="s">
        <v>4</v>
      </c>
      <c r="H139" t="s">
        <v>6</v>
      </c>
      <c r="I139" t="s">
        <v>14</v>
      </c>
      <c r="J139" t="s">
        <v>9</v>
      </c>
      <c r="K139" t="s">
        <v>9</v>
      </c>
      <c r="L139" t="s">
        <v>9</v>
      </c>
      <c r="M139" t="s">
        <v>9</v>
      </c>
      <c r="N139" t="s">
        <v>10</v>
      </c>
    </row>
    <row r="140" spans="1:14" x14ac:dyDescent="0.35">
      <c r="A140">
        <v>139</v>
      </c>
      <c r="B140">
        <v>26</v>
      </c>
      <c r="C140" t="s">
        <v>2</v>
      </c>
      <c r="D140" t="s">
        <v>12</v>
      </c>
      <c r="E140" s="1">
        <v>1500</v>
      </c>
      <c r="F140" t="s">
        <v>5</v>
      </c>
      <c r="G140" t="s">
        <v>5</v>
      </c>
      <c r="H140" t="s">
        <v>6</v>
      </c>
      <c r="I140" t="s">
        <v>7</v>
      </c>
      <c r="J140" t="s">
        <v>8</v>
      </c>
      <c r="K140" t="s">
        <v>8</v>
      </c>
      <c r="L140" t="s">
        <v>9</v>
      </c>
      <c r="M140" t="s">
        <v>8</v>
      </c>
      <c r="N140" t="s">
        <v>10</v>
      </c>
    </row>
    <row r="141" spans="1:14" x14ac:dyDescent="0.35">
      <c r="A141">
        <v>140</v>
      </c>
      <c r="B141">
        <v>27</v>
      </c>
      <c r="C141" t="s">
        <v>2</v>
      </c>
      <c r="D141" t="s">
        <v>15</v>
      </c>
      <c r="E141" s="1">
        <v>800</v>
      </c>
      <c r="F141" t="s">
        <v>5</v>
      </c>
      <c r="G141" t="s">
        <v>5</v>
      </c>
      <c r="H141" t="s">
        <v>6</v>
      </c>
      <c r="I141" t="s">
        <v>7</v>
      </c>
      <c r="J141" t="s">
        <v>9</v>
      </c>
      <c r="K141" t="s">
        <v>9</v>
      </c>
      <c r="L141" t="s">
        <v>9</v>
      </c>
      <c r="M141" t="s">
        <v>9</v>
      </c>
      <c r="N141" t="s">
        <v>10</v>
      </c>
    </row>
    <row r="142" spans="1:14" x14ac:dyDescent="0.35">
      <c r="A142">
        <v>141</v>
      </c>
      <c r="B142">
        <v>19</v>
      </c>
      <c r="C142" t="s">
        <v>2</v>
      </c>
      <c r="D142" t="s">
        <v>15</v>
      </c>
      <c r="E142" s="1">
        <v>400</v>
      </c>
      <c r="F142" t="s">
        <v>5</v>
      </c>
      <c r="G142" t="s">
        <v>5</v>
      </c>
      <c r="H142" t="s">
        <v>6</v>
      </c>
      <c r="I142" t="s">
        <v>14</v>
      </c>
      <c r="J142" t="s">
        <v>9</v>
      </c>
      <c r="K142" t="s">
        <v>9</v>
      </c>
      <c r="L142" t="s">
        <v>9</v>
      </c>
      <c r="M142" t="s">
        <v>9</v>
      </c>
      <c r="N142" t="s">
        <v>10</v>
      </c>
    </row>
    <row r="143" spans="1:14" x14ac:dyDescent="0.35">
      <c r="A143">
        <v>142</v>
      </c>
      <c r="B143">
        <v>25</v>
      </c>
      <c r="C143" t="s">
        <v>2</v>
      </c>
      <c r="D143" t="s">
        <v>11</v>
      </c>
      <c r="E143" s="1">
        <v>800</v>
      </c>
      <c r="F143" t="s">
        <v>5</v>
      </c>
      <c r="G143" t="s">
        <v>5</v>
      </c>
      <c r="H143" t="s">
        <v>5</v>
      </c>
      <c r="I143" t="s">
        <v>7</v>
      </c>
      <c r="J143" t="s">
        <v>9</v>
      </c>
      <c r="K143" t="s">
        <v>9</v>
      </c>
      <c r="L143" t="s">
        <v>9</v>
      </c>
      <c r="M143" t="s">
        <v>9</v>
      </c>
      <c r="N143" t="s">
        <v>10</v>
      </c>
    </row>
    <row r="144" spans="1:14" x14ac:dyDescent="0.35">
      <c r="A144">
        <v>143</v>
      </c>
      <c r="B144">
        <v>26</v>
      </c>
      <c r="C144" t="s">
        <v>2</v>
      </c>
      <c r="D144" t="s">
        <v>11</v>
      </c>
      <c r="E144" s="1">
        <v>400</v>
      </c>
      <c r="F144" t="s">
        <v>5</v>
      </c>
      <c r="G144" t="s">
        <v>4</v>
      </c>
      <c r="H144" t="s">
        <v>6</v>
      </c>
      <c r="I144" t="s">
        <v>14</v>
      </c>
      <c r="J144" t="s">
        <v>9</v>
      </c>
      <c r="K144" t="s">
        <v>9</v>
      </c>
      <c r="L144" t="s">
        <v>8</v>
      </c>
      <c r="M144" t="s">
        <v>9</v>
      </c>
      <c r="N144" t="s">
        <v>10</v>
      </c>
    </row>
    <row r="145" spans="1:14" x14ac:dyDescent="0.35">
      <c r="A145">
        <v>144</v>
      </c>
      <c r="B145">
        <v>37</v>
      </c>
      <c r="C145" t="s">
        <v>2</v>
      </c>
      <c r="D145" t="s">
        <v>15</v>
      </c>
      <c r="E145" s="1">
        <v>500</v>
      </c>
      <c r="F145" t="s">
        <v>5</v>
      </c>
      <c r="G145" t="s">
        <v>5</v>
      </c>
      <c r="H145" t="s">
        <v>6</v>
      </c>
      <c r="I145" t="s">
        <v>7</v>
      </c>
      <c r="J145" t="s">
        <v>8</v>
      </c>
      <c r="K145" t="s">
        <v>8</v>
      </c>
      <c r="L145" t="s">
        <v>9</v>
      </c>
      <c r="M145" t="s">
        <v>8</v>
      </c>
      <c r="N145" t="s">
        <v>10</v>
      </c>
    </row>
    <row r="146" spans="1:14" x14ac:dyDescent="0.35">
      <c r="A146">
        <v>145</v>
      </c>
      <c r="B146">
        <v>36</v>
      </c>
      <c r="C146" t="s">
        <v>2</v>
      </c>
      <c r="D146" t="s">
        <v>3</v>
      </c>
      <c r="E146" s="1">
        <v>200</v>
      </c>
      <c r="F146" t="s">
        <v>6</v>
      </c>
      <c r="G146" t="s">
        <v>30</v>
      </c>
      <c r="H146" t="s">
        <v>30</v>
      </c>
      <c r="I146" t="s">
        <v>14</v>
      </c>
      <c r="J146" t="s">
        <v>9</v>
      </c>
      <c r="K146" t="s">
        <v>9</v>
      </c>
      <c r="L146" t="s">
        <v>9</v>
      </c>
      <c r="M146" t="s">
        <v>9</v>
      </c>
      <c r="N146" t="s">
        <v>10</v>
      </c>
    </row>
    <row r="147" spans="1:14" x14ac:dyDescent="0.35">
      <c r="A147">
        <v>146</v>
      </c>
      <c r="B147">
        <v>30</v>
      </c>
      <c r="C147" t="s">
        <v>2</v>
      </c>
      <c r="D147" t="s">
        <v>12</v>
      </c>
      <c r="E147" s="1">
        <v>180</v>
      </c>
      <c r="F147" t="s">
        <v>5</v>
      </c>
      <c r="G147" t="s">
        <v>5</v>
      </c>
      <c r="H147" t="s">
        <v>6</v>
      </c>
      <c r="I147" t="s">
        <v>14</v>
      </c>
      <c r="J147" t="s">
        <v>9</v>
      </c>
      <c r="K147" t="s">
        <v>9</v>
      </c>
      <c r="L147" t="s">
        <v>9</v>
      </c>
      <c r="M147" t="s">
        <v>9</v>
      </c>
      <c r="N147" t="s">
        <v>10</v>
      </c>
    </row>
    <row r="148" spans="1:14" x14ac:dyDescent="0.35">
      <c r="A148">
        <v>147</v>
      </c>
      <c r="B148">
        <v>37</v>
      </c>
      <c r="C148" t="s">
        <v>2</v>
      </c>
      <c r="D148" t="s">
        <v>11</v>
      </c>
      <c r="E148" s="1">
        <v>300</v>
      </c>
      <c r="F148" t="s">
        <v>5</v>
      </c>
      <c r="G148" t="s">
        <v>5</v>
      </c>
      <c r="H148" t="s">
        <v>6</v>
      </c>
      <c r="I148" t="s">
        <v>7</v>
      </c>
      <c r="J148" t="s">
        <v>8</v>
      </c>
      <c r="K148" t="s">
        <v>9</v>
      </c>
      <c r="L148" t="s">
        <v>8</v>
      </c>
      <c r="M148" t="s">
        <v>8</v>
      </c>
      <c r="N148" t="s">
        <v>10</v>
      </c>
    </row>
    <row r="149" spans="1:14" x14ac:dyDescent="0.35">
      <c r="A149">
        <v>148</v>
      </c>
      <c r="B149">
        <v>28</v>
      </c>
      <c r="C149" t="s">
        <v>2</v>
      </c>
      <c r="D149" t="s">
        <v>12</v>
      </c>
      <c r="E149" s="1">
        <v>200</v>
      </c>
      <c r="F149" t="s">
        <v>6</v>
      </c>
      <c r="G149" t="s">
        <v>30</v>
      </c>
      <c r="H149" t="s">
        <v>30</v>
      </c>
      <c r="I149" t="s">
        <v>14</v>
      </c>
      <c r="J149" t="s">
        <v>9</v>
      </c>
      <c r="K149" t="s">
        <v>9</v>
      </c>
      <c r="L149" t="s">
        <v>9</v>
      </c>
      <c r="M149" t="s">
        <v>9</v>
      </c>
      <c r="N149" t="s">
        <v>10</v>
      </c>
    </row>
    <row r="150" spans="1:14" x14ac:dyDescent="0.35">
      <c r="A150">
        <v>149</v>
      </c>
      <c r="B150">
        <v>32</v>
      </c>
      <c r="C150" t="s">
        <v>2</v>
      </c>
      <c r="D150" t="s">
        <v>11</v>
      </c>
      <c r="E150" s="1">
        <v>1200</v>
      </c>
      <c r="F150" t="s">
        <v>5</v>
      </c>
      <c r="G150" t="s">
        <v>5</v>
      </c>
      <c r="H150" t="s">
        <v>5</v>
      </c>
      <c r="I150" t="s">
        <v>7</v>
      </c>
      <c r="J150" t="s">
        <v>9</v>
      </c>
      <c r="K150" t="s">
        <v>9</v>
      </c>
      <c r="L150" t="s">
        <v>8</v>
      </c>
      <c r="M150" t="s">
        <v>8</v>
      </c>
      <c r="N150" t="s">
        <v>10</v>
      </c>
    </row>
    <row r="151" spans="1:14" x14ac:dyDescent="0.35">
      <c r="A151">
        <v>150</v>
      </c>
      <c r="B151">
        <v>20</v>
      </c>
      <c r="C151" t="s">
        <v>2</v>
      </c>
      <c r="D151" t="s">
        <v>11</v>
      </c>
      <c r="E151" s="1">
        <v>300</v>
      </c>
      <c r="F151" t="s">
        <v>5</v>
      </c>
      <c r="G151" t="s">
        <v>5</v>
      </c>
      <c r="H151" t="s">
        <v>6</v>
      </c>
      <c r="I151" t="s">
        <v>14</v>
      </c>
      <c r="J151" t="s">
        <v>9</v>
      </c>
      <c r="K151" t="s">
        <v>9</v>
      </c>
      <c r="L151" t="s">
        <v>9</v>
      </c>
      <c r="M151" t="s">
        <v>9</v>
      </c>
      <c r="N151" t="s">
        <v>10</v>
      </c>
    </row>
    <row r="152" spans="1:14" x14ac:dyDescent="0.35">
      <c r="A152">
        <v>151</v>
      </c>
      <c r="B152">
        <v>24</v>
      </c>
      <c r="C152" t="s">
        <v>2</v>
      </c>
      <c r="D152" t="s">
        <v>3</v>
      </c>
      <c r="E152" s="1">
        <v>200</v>
      </c>
      <c r="F152" t="s">
        <v>5</v>
      </c>
      <c r="G152" t="s">
        <v>4</v>
      </c>
      <c r="H152" t="s">
        <v>6</v>
      </c>
      <c r="I152" t="s">
        <v>14</v>
      </c>
      <c r="J152" t="s">
        <v>9</v>
      </c>
      <c r="K152" t="s">
        <v>9</v>
      </c>
      <c r="L152" t="s">
        <v>9</v>
      </c>
      <c r="M152" t="s">
        <v>9</v>
      </c>
      <c r="N152" t="s">
        <v>10</v>
      </c>
    </row>
    <row r="153" spans="1:14" x14ac:dyDescent="0.35">
      <c r="A153">
        <v>152</v>
      </c>
      <c r="B153">
        <v>35</v>
      </c>
      <c r="C153" t="s">
        <v>2</v>
      </c>
      <c r="D153" t="s">
        <v>12</v>
      </c>
      <c r="E153" s="1">
        <v>500</v>
      </c>
      <c r="F153" t="s">
        <v>5</v>
      </c>
      <c r="G153" t="s">
        <v>5</v>
      </c>
      <c r="H153" t="s">
        <v>5</v>
      </c>
      <c r="I153" t="s">
        <v>7</v>
      </c>
      <c r="J153" t="s">
        <v>8</v>
      </c>
      <c r="K153" t="s">
        <v>9</v>
      </c>
      <c r="L153" t="s">
        <v>9</v>
      </c>
      <c r="M153" t="s">
        <v>8</v>
      </c>
      <c r="N153" t="s">
        <v>10</v>
      </c>
    </row>
    <row r="154" spans="1:14" x14ac:dyDescent="0.35">
      <c r="A154">
        <v>153</v>
      </c>
      <c r="B154">
        <v>27</v>
      </c>
      <c r="C154" t="s">
        <v>2</v>
      </c>
      <c r="D154" t="s">
        <v>15</v>
      </c>
      <c r="E154" s="1">
        <v>500</v>
      </c>
      <c r="F154" t="s">
        <v>5</v>
      </c>
      <c r="G154" t="s">
        <v>5</v>
      </c>
      <c r="H154" t="s">
        <v>6</v>
      </c>
      <c r="I154" t="s">
        <v>7</v>
      </c>
      <c r="J154" t="s">
        <v>8</v>
      </c>
      <c r="K154" t="s">
        <v>9</v>
      </c>
      <c r="L154" t="s">
        <v>9</v>
      </c>
      <c r="M154" t="s">
        <v>8</v>
      </c>
      <c r="N154" t="s">
        <v>10</v>
      </c>
    </row>
    <row r="155" spans="1:14" x14ac:dyDescent="0.35">
      <c r="A155">
        <v>154</v>
      </c>
      <c r="B155">
        <v>30</v>
      </c>
      <c r="C155" t="s">
        <v>2</v>
      </c>
      <c r="D155" t="s">
        <v>12</v>
      </c>
      <c r="E155" s="1">
        <v>500</v>
      </c>
      <c r="F155" t="s">
        <v>5</v>
      </c>
      <c r="G155" t="s">
        <v>5</v>
      </c>
      <c r="H155" t="s">
        <v>6</v>
      </c>
      <c r="I155" t="s">
        <v>14</v>
      </c>
      <c r="J155" t="s">
        <v>9</v>
      </c>
      <c r="K155" t="s">
        <v>9</v>
      </c>
      <c r="L155" t="s">
        <v>9</v>
      </c>
      <c r="M155" t="s">
        <v>9</v>
      </c>
      <c r="N155" t="s">
        <v>10</v>
      </c>
    </row>
    <row r="156" spans="1:14" x14ac:dyDescent="0.35">
      <c r="A156">
        <v>155</v>
      </c>
      <c r="B156">
        <v>40</v>
      </c>
      <c r="C156" t="s">
        <v>17</v>
      </c>
      <c r="D156" t="s">
        <v>15</v>
      </c>
      <c r="E156" s="1">
        <v>300</v>
      </c>
      <c r="F156" t="s">
        <v>5</v>
      </c>
      <c r="G156" t="s">
        <v>4</v>
      </c>
      <c r="H156" t="s">
        <v>6</v>
      </c>
      <c r="I156" t="s">
        <v>14</v>
      </c>
      <c r="J156" t="s">
        <v>8</v>
      </c>
      <c r="K156" t="s">
        <v>9</v>
      </c>
      <c r="L156" t="s">
        <v>8</v>
      </c>
      <c r="M156" t="s">
        <v>9</v>
      </c>
      <c r="N156" t="s">
        <v>10</v>
      </c>
    </row>
    <row r="157" spans="1:14" x14ac:dyDescent="0.35">
      <c r="A157">
        <v>156</v>
      </c>
      <c r="B157">
        <v>29</v>
      </c>
      <c r="C157" t="s">
        <v>2</v>
      </c>
      <c r="D157" t="s">
        <v>15</v>
      </c>
      <c r="E157" s="1">
        <v>200</v>
      </c>
      <c r="F157" t="s">
        <v>5</v>
      </c>
      <c r="G157" t="s">
        <v>5</v>
      </c>
      <c r="H157" t="s">
        <v>6</v>
      </c>
      <c r="I157" t="s">
        <v>14</v>
      </c>
      <c r="J157" t="s">
        <v>9</v>
      </c>
      <c r="K157" t="s">
        <v>9</v>
      </c>
      <c r="L157" t="s">
        <v>9</v>
      </c>
      <c r="M157" t="s">
        <v>9</v>
      </c>
      <c r="N157" t="s">
        <v>10</v>
      </c>
    </row>
    <row r="158" spans="1:14" x14ac:dyDescent="0.35">
      <c r="A158">
        <v>157</v>
      </c>
      <c r="B158">
        <v>31</v>
      </c>
      <c r="C158" t="s">
        <v>2</v>
      </c>
      <c r="D158" t="s">
        <v>12</v>
      </c>
      <c r="E158" s="1">
        <v>800</v>
      </c>
      <c r="F158" t="s">
        <v>5</v>
      </c>
      <c r="G158" t="s">
        <v>5</v>
      </c>
      <c r="H158" t="s">
        <v>5</v>
      </c>
      <c r="I158" t="s">
        <v>7</v>
      </c>
      <c r="J158" t="s">
        <v>8</v>
      </c>
      <c r="K158" t="s">
        <v>9</v>
      </c>
      <c r="L158" t="s">
        <v>8</v>
      </c>
      <c r="M158" t="s">
        <v>8</v>
      </c>
      <c r="N158" t="s">
        <v>10</v>
      </c>
    </row>
    <row r="159" spans="1:14" x14ac:dyDescent="0.35">
      <c r="A159">
        <v>158</v>
      </c>
      <c r="B159">
        <v>38</v>
      </c>
      <c r="C159" t="s">
        <v>2</v>
      </c>
      <c r="D159" t="s">
        <v>12</v>
      </c>
      <c r="E159" s="1">
        <v>300</v>
      </c>
      <c r="F159" t="s">
        <v>5</v>
      </c>
      <c r="G159" t="s">
        <v>5</v>
      </c>
      <c r="H159" t="s">
        <v>6</v>
      </c>
      <c r="I159" t="s">
        <v>14</v>
      </c>
      <c r="J159" t="s">
        <v>8</v>
      </c>
      <c r="K159" t="s">
        <v>8</v>
      </c>
      <c r="L159" t="s">
        <v>8</v>
      </c>
      <c r="M159" t="s">
        <v>9</v>
      </c>
      <c r="N159" t="s">
        <v>10</v>
      </c>
    </row>
    <row r="160" spans="1:14" x14ac:dyDescent="0.35">
      <c r="A160">
        <v>159</v>
      </c>
      <c r="B160">
        <v>20</v>
      </c>
      <c r="C160" t="s">
        <v>2</v>
      </c>
      <c r="D160" t="s">
        <v>15</v>
      </c>
      <c r="E160" s="1">
        <v>300</v>
      </c>
      <c r="F160" t="s">
        <v>5</v>
      </c>
      <c r="G160" t="s">
        <v>5</v>
      </c>
      <c r="H160" t="s">
        <v>6</v>
      </c>
      <c r="I160" t="s">
        <v>7</v>
      </c>
      <c r="J160" t="s">
        <v>9</v>
      </c>
      <c r="K160" t="s">
        <v>9</v>
      </c>
      <c r="L160" t="s">
        <v>9</v>
      </c>
      <c r="M160" t="s">
        <v>9</v>
      </c>
      <c r="N160" t="s">
        <v>10</v>
      </c>
    </row>
    <row r="161" spans="1:14" x14ac:dyDescent="0.35">
      <c r="A161">
        <v>160</v>
      </c>
      <c r="B161">
        <v>28</v>
      </c>
      <c r="C161" t="s">
        <v>2</v>
      </c>
      <c r="D161" t="s">
        <v>3</v>
      </c>
      <c r="E161" s="1">
        <v>150</v>
      </c>
      <c r="F161" t="s">
        <v>6</v>
      </c>
      <c r="G161" t="s">
        <v>30</v>
      </c>
      <c r="H161" t="s">
        <v>30</v>
      </c>
      <c r="I161" t="s">
        <v>7</v>
      </c>
      <c r="J161" t="s">
        <v>9</v>
      </c>
      <c r="K161" t="s">
        <v>9</v>
      </c>
      <c r="L161" t="s">
        <v>9</v>
      </c>
      <c r="M161" t="s">
        <v>9</v>
      </c>
      <c r="N161" t="s">
        <v>10</v>
      </c>
    </row>
    <row r="162" spans="1:14" x14ac:dyDescent="0.35">
      <c r="A162">
        <v>161</v>
      </c>
      <c r="B162">
        <v>20</v>
      </c>
      <c r="C162" t="s">
        <v>2</v>
      </c>
      <c r="D162" t="s">
        <v>15</v>
      </c>
      <c r="E162" s="1">
        <v>300</v>
      </c>
      <c r="F162" t="s">
        <v>5</v>
      </c>
      <c r="G162" t="s">
        <v>5</v>
      </c>
      <c r="H162" t="s">
        <v>6</v>
      </c>
      <c r="I162" t="s">
        <v>7</v>
      </c>
      <c r="J162" t="s">
        <v>9</v>
      </c>
      <c r="K162" t="s">
        <v>9</v>
      </c>
      <c r="L162" t="s">
        <v>9</v>
      </c>
      <c r="M162" t="s">
        <v>9</v>
      </c>
      <c r="N162" t="s">
        <v>10</v>
      </c>
    </row>
    <row r="163" spans="1:14" x14ac:dyDescent="0.35">
      <c r="A163">
        <v>162</v>
      </c>
      <c r="B163">
        <v>32</v>
      </c>
      <c r="C163" t="s">
        <v>2</v>
      </c>
      <c r="D163" t="s">
        <v>12</v>
      </c>
      <c r="E163" s="1">
        <v>300</v>
      </c>
      <c r="F163" t="s">
        <v>5</v>
      </c>
      <c r="G163" t="s">
        <v>4</v>
      </c>
      <c r="H163" t="s">
        <v>5</v>
      </c>
      <c r="I163" t="s">
        <v>14</v>
      </c>
      <c r="J163" t="s">
        <v>9</v>
      </c>
      <c r="K163" t="s">
        <v>9</v>
      </c>
      <c r="L163" t="s">
        <v>9</v>
      </c>
      <c r="M163" t="s">
        <v>9</v>
      </c>
      <c r="N163" t="s">
        <v>10</v>
      </c>
    </row>
    <row r="164" spans="1:14" x14ac:dyDescent="0.35">
      <c r="A164">
        <v>163</v>
      </c>
      <c r="B164">
        <v>28</v>
      </c>
      <c r="C164" t="s">
        <v>2</v>
      </c>
      <c r="D164" t="s">
        <v>11</v>
      </c>
      <c r="E164" s="1">
        <v>500</v>
      </c>
      <c r="F164" t="s">
        <v>5</v>
      </c>
      <c r="G164" t="s">
        <v>5</v>
      </c>
      <c r="H164" t="s">
        <v>5</v>
      </c>
      <c r="I164" t="s">
        <v>7</v>
      </c>
      <c r="J164" t="s">
        <v>8</v>
      </c>
      <c r="K164" t="s">
        <v>9</v>
      </c>
      <c r="L164" t="s">
        <v>9</v>
      </c>
      <c r="M164" t="s">
        <v>8</v>
      </c>
      <c r="N164" t="s">
        <v>10</v>
      </c>
    </row>
    <row r="165" spans="1:14" x14ac:dyDescent="0.35">
      <c r="A165">
        <v>164</v>
      </c>
      <c r="B165">
        <v>35</v>
      </c>
      <c r="C165" t="s">
        <v>16</v>
      </c>
      <c r="D165" t="s">
        <v>12</v>
      </c>
      <c r="E165" s="1">
        <v>300</v>
      </c>
      <c r="F165" t="s">
        <v>6</v>
      </c>
      <c r="G165" t="s">
        <v>30</v>
      </c>
      <c r="H165" t="s">
        <v>30</v>
      </c>
      <c r="I165" t="s">
        <v>14</v>
      </c>
      <c r="J165" t="s">
        <v>9</v>
      </c>
      <c r="K165" t="s">
        <v>9</v>
      </c>
      <c r="L165" t="s">
        <v>8</v>
      </c>
      <c r="M165" t="s">
        <v>9</v>
      </c>
      <c r="N165" t="s">
        <v>10</v>
      </c>
    </row>
    <row r="166" spans="1:14" x14ac:dyDescent="0.35">
      <c r="A166">
        <v>165</v>
      </c>
      <c r="B166">
        <v>22</v>
      </c>
      <c r="C166" t="s">
        <v>2</v>
      </c>
      <c r="D166" t="s">
        <v>15</v>
      </c>
      <c r="E166" s="1">
        <v>600</v>
      </c>
      <c r="F166" t="s">
        <v>5</v>
      </c>
      <c r="G166" t="s">
        <v>5</v>
      </c>
      <c r="H166" t="s">
        <v>6</v>
      </c>
      <c r="I166" t="s">
        <v>14</v>
      </c>
      <c r="J166" t="s">
        <v>9</v>
      </c>
      <c r="K166" t="s">
        <v>9</v>
      </c>
      <c r="L166" t="s">
        <v>9</v>
      </c>
      <c r="M166" t="s">
        <v>9</v>
      </c>
      <c r="N166" t="s">
        <v>10</v>
      </c>
    </row>
    <row r="167" spans="1:14" x14ac:dyDescent="0.35">
      <c r="A167">
        <v>166</v>
      </c>
      <c r="B167">
        <v>28</v>
      </c>
      <c r="C167" t="s">
        <v>2</v>
      </c>
      <c r="D167" t="s">
        <v>12</v>
      </c>
      <c r="E167" s="1">
        <v>400</v>
      </c>
      <c r="F167" t="s">
        <v>5</v>
      </c>
      <c r="G167" t="s">
        <v>5</v>
      </c>
      <c r="H167" t="s">
        <v>6</v>
      </c>
      <c r="I167" t="s">
        <v>7</v>
      </c>
      <c r="J167" t="s">
        <v>8</v>
      </c>
      <c r="K167" t="s">
        <v>8</v>
      </c>
      <c r="L167" t="s">
        <v>8</v>
      </c>
      <c r="M167" t="s">
        <v>8</v>
      </c>
      <c r="N167" t="s">
        <v>10</v>
      </c>
    </row>
    <row r="168" spans="1:14" x14ac:dyDescent="0.35">
      <c r="A168">
        <v>167</v>
      </c>
      <c r="B168">
        <v>31</v>
      </c>
      <c r="C168" t="s">
        <v>2</v>
      </c>
      <c r="D168" t="s">
        <v>15</v>
      </c>
      <c r="E168" s="1">
        <v>200</v>
      </c>
      <c r="F168" t="s">
        <v>5</v>
      </c>
      <c r="G168" t="s">
        <v>5</v>
      </c>
      <c r="H168" t="s">
        <v>6</v>
      </c>
      <c r="I168" t="s">
        <v>7</v>
      </c>
      <c r="J168" t="s">
        <v>8</v>
      </c>
      <c r="K168" t="s">
        <v>8</v>
      </c>
      <c r="L168" t="s">
        <v>9</v>
      </c>
      <c r="M168" t="s">
        <v>8</v>
      </c>
      <c r="N168" t="s">
        <v>10</v>
      </c>
    </row>
    <row r="169" spans="1:14" x14ac:dyDescent="0.35">
      <c r="A169">
        <v>168</v>
      </c>
      <c r="B169">
        <v>26</v>
      </c>
      <c r="C169" t="s">
        <v>2</v>
      </c>
      <c r="D169" t="s">
        <v>15</v>
      </c>
      <c r="E169" s="1">
        <v>350</v>
      </c>
      <c r="F169" t="s">
        <v>6</v>
      </c>
      <c r="G169" t="s">
        <v>30</v>
      </c>
      <c r="H169" t="s">
        <v>30</v>
      </c>
      <c r="I169" t="s">
        <v>14</v>
      </c>
      <c r="J169" t="s">
        <v>9</v>
      </c>
      <c r="K169" t="s">
        <v>9</v>
      </c>
      <c r="L169" t="s">
        <v>9</v>
      </c>
      <c r="M169" t="s">
        <v>9</v>
      </c>
      <c r="N169" t="s">
        <v>10</v>
      </c>
    </row>
    <row r="170" spans="1:14" x14ac:dyDescent="0.35">
      <c r="A170">
        <v>169</v>
      </c>
      <c r="B170">
        <v>23</v>
      </c>
      <c r="C170" t="s">
        <v>2</v>
      </c>
      <c r="D170" t="s">
        <v>15</v>
      </c>
      <c r="E170" s="1">
        <v>1000</v>
      </c>
      <c r="F170" t="s">
        <v>5</v>
      </c>
      <c r="G170" t="s">
        <v>5</v>
      </c>
      <c r="H170" t="s">
        <v>5</v>
      </c>
      <c r="I170" t="s">
        <v>7</v>
      </c>
      <c r="J170" t="s">
        <v>8</v>
      </c>
      <c r="K170" t="s">
        <v>8</v>
      </c>
      <c r="L170" t="s">
        <v>8</v>
      </c>
      <c r="M170" t="s">
        <v>8</v>
      </c>
      <c r="N170" t="s">
        <v>10</v>
      </c>
    </row>
    <row r="171" spans="1:14" x14ac:dyDescent="0.35">
      <c r="A171">
        <v>170</v>
      </c>
      <c r="B171">
        <v>19</v>
      </c>
      <c r="C171" t="s">
        <v>2</v>
      </c>
      <c r="D171" t="s">
        <v>15</v>
      </c>
      <c r="E171" s="1">
        <v>150</v>
      </c>
      <c r="F171" t="s">
        <v>5</v>
      </c>
      <c r="G171" t="s">
        <v>4</v>
      </c>
      <c r="H171" t="s">
        <v>6</v>
      </c>
      <c r="I171" t="s">
        <v>14</v>
      </c>
      <c r="J171" t="s">
        <v>9</v>
      </c>
      <c r="K171" t="s">
        <v>9</v>
      </c>
      <c r="L171" t="s">
        <v>9</v>
      </c>
      <c r="M171" t="s">
        <v>9</v>
      </c>
      <c r="N171" t="s">
        <v>10</v>
      </c>
    </row>
    <row r="172" spans="1:14" x14ac:dyDescent="0.35">
      <c r="A172">
        <v>171</v>
      </c>
      <c r="B172">
        <v>20</v>
      </c>
      <c r="C172" t="s">
        <v>2</v>
      </c>
      <c r="D172" t="s">
        <v>12</v>
      </c>
      <c r="E172" s="1">
        <v>250</v>
      </c>
      <c r="F172" t="s">
        <v>5</v>
      </c>
      <c r="G172" t="s">
        <v>5</v>
      </c>
      <c r="H172" t="s">
        <v>6</v>
      </c>
      <c r="I172" t="s">
        <v>14</v>
      </c>
      <c r="J172" t="s">
        <v>9</v>
      </c>
      <c r="K172" t="s">
        <v>9</v>
      </c>
      <c r="L172" t="s">
        <v>9</v>
      </c>
      <c r="M172" t="s">
        <v>9</v>
      </c>
      <c r="N172" t="s">
        <v>10</v>
      </c>
    </row>
    <row r="173" spans="1:14" x14ac:dyDescent="0.35">
      <c r="A173">
        <v>172</v>
      </c>
      <c r="B173">
        <v>29</v>
      </c>
      <c r="C173" t="s">
        <v>2</v>
      </c>
      <c r="D173" t="s">
        <v>3</v>
      </c>
      <c r="E173" s="1">
        <v>300</v>
      </c>
      <c r="F173" t="s">
        <v>6</v>
      </c>
      <c r="G173" t="s">
        <v>30</v>
      </c>
      <c r="H173" t="s">
        <v>30</v>
      </c>
      <c r="I173" t="s">
        <v>14</v>
      </c>
      <c r="J173" t="s">
        <v>8</v>
      </c>
      <c r="K173" t="s">
        <v>9</v>
      </c>
      <c r="L173" t="s">
        <v>9</v>
      </c>
      <c r="M173" t="s">
        <v>9</v>
      </c>
      <c r="N173" t="s">
        <v>10</v>
      </c>
    </row>
    <row r="174" spans="1:14" x14ac:dyDescent="0.35">
      <c r="A174">
        <v>173</v>
      </c>
      <c r="B174">
        <v>38</v>
      </c>
      <c r="C174" t="s">
        <v>2</v>
      </c>
      <c r="D174" t="s">
        <v>11</v>
      </c>
      <c r="E174" s="1">
        <v>600</v>
      </c>
      <c r="F174" t="s">
        <v>5</v>
      </c>
      <c r="G174" t="s">
        <v>5</v>
      </c>
      <c r="H174" t="s">
        <v>5</v>
      </c>
      <c r="I174" t="s">
        <v>7</v>
      </c>
      <c r="J174" t="s">
        <v>8</v>
      </c>
      <c r="K174" t="s">
        <v>8</v>
      </c>
      <c r="L174" t="s">
        <v>8</v>
      </c>
      <c r="M174" t="s">
        <v>8</v>
      </c>
      <c r="N174" t="s">
        <v>10</v>
      </c>
    </row>
    <row r="175" spans="1:14" x14ac:dyDescent="0.35">
      <c r="A175">
        <v>174</v>
      </c>
      <c r="B175">
        <v>28</v>
      </c>
      <c r="C175" t="s">
        <v>2</v>
      </c>
      <c r="D175" t="s">
        <v>11</v>
      </c>
      <c r="E175" s="1">
        <v>1600</v>
      </c>
      <c r="F175" t="s">
        <v>5</v>
      </c>
      <c r="G175" t="s">
        <v>5</v>
      </c>
      <c r="H175" t="s">
        <v>5</v>
      </c>
      <c r="I175" t="s">
        <v>7</v>
      </c>
      <c r="J175" t="s">
        <v>9</v>
      </c>
      <c r="K175" t="s">
        <v>8</v>
      </c>
      <c r="L175" t="s">
        <v>8</v>
      </c>
      <c r="M175" t="s">
        <v>8</v>
      </c>
      <c r="N175" t="s">
        <v>10</v>
      </c>
    </row>
    <row r="176" spans="1:14" x14ac:dyDescent="0.35">
      <c r="A176">
        <v>175</v>
      </c>
      <c r="B176">
        <v>33</v>
      </c>
      <c r="C176" t="s">
        <v>16</v>
      </c>
      <c r="D176" t="s">
        <v>11</v>
      </c>
      <c r="E176" s="1">
        <v>600</v>
      </c>
      <c r="F176" t="s">
        <v>5</v>
      </c>
      <c r="G176" t="s">
        <v>5</v>
      </c>
      <c r="H176" t="s">
        <v>6</v>
      </c>
      <c r="I176" t="s">
        <v>14</v>
      </c>
      <c r="J176" t="s">
        <v>8</v>
      </c>
      <c r="K176" t="s">
        <v>9</v>
      </c>
      <c r="L176" t="s">
        <v>9</v>
      </c>
      <c r="M176" t="s">
        <v>9</v>
      </c>
      <c r="N176" t="s">
        <v>10</v>
      </c>
    </row>
    <row r="177" spans="1:14" x14ac:dyDescent="0.35">
      <c r="A177">
        <v>176</v>
      </c>
      <c r="B177">
        <v>20</v>
      </c>
      <c r="C177" t="s">
        <v>2</v>
      </c>
      <c r="D177" t="s">
        <v>15</v>
      </c>
      <c r="E177" s="1">
        <v>300</v>
      </c>
      <c r="F177" t="s">
        <v>5</v>
      </c>
      <c r="G177" t="s">
        <v>5</v>
      </c>
      <c r="H177" t="s">
        <v>6</v>
      </c>
      <c r="I177" t="s">
        <v>7</v>
      </c>
      <c r="J177" t="s">
        <v>9</v>
      </c>
      <c r="K177" t="s">
        <v>9</v>
      </c>
      <c r="L177" t="s">
        <v>9</v>
      </c>
      <c r="M177" t="s">
        <v>9</v>
      </c>
      <c r="N177" t="s">
        <v>10</v>
      </c>
    </row>
    <row r="178" spans="1:14" x14ac:dyDescent="0.35">
      <c r="A178">
        <v>177</v>
      </c>
      <c r="B178">
        <v>28</v>
      </c>
      <c r="C178" t="s">
        <v>2</v>
      </c>
      <c r="D178" t="s">
        <v>15</v>
      </c>
      <c r="E178" s="1">
        <v>200</v>
      </c>
      <c r="F178" t="s">
        <v>5</v>
      </c>
      <c r="G178" t="s">
        <v>5</v>
      </c>
      <c r="H178" t="s">
        <v>6</v>
      </c>
      <c r="I178" t="s">
        <v>7</v>
      </c>
      <c r="J178" t="s">
        <v>9</v>
      </c>
      <c r="K178" t="s">
        <v>9</v>
      </c>
      <c r="L178" t="s">
        <v>9</v>
      </c>
      <c r="M178" t="s">
        <v>8</v>
      </c>
      <c r="N178" t="s">
        <v>10</v>
      </c>
    </row>
    <row r="179" spans="1:14" x14ac:dyDescent="0.35">
      <c r="A179">
        <v>178</v>
      </c>
      <c r="B179">
        <v>36</v>
      </c>
      <c r="C179" t="s">
        <v>2</v>
      </c>
      <c r="D179" t="s">
        <v>3</v>
      </c>
      <c r="E179" s="1">
        <v>200</v>
      </c>
      <c r="F179" t="s">
        <v>6</v>
      </c>
      <c r="G179" t="s">
        <v>30</v>
      </c>
      <c r="H179" t="s">
        <v>30</v>
      </c>
      <c r="I179" t="s">
        <v>7</v>
      </c>
      <c r="J179" t="s">
        <v>9</v>
      </c>
      <c r="K179" t="s">
        <v>9</v>
      </c>
      <c r="L179" t="s">
        <v>9</v>
      </c>
      <c r="M179" t="s">
        <v>9</v>
      </c>
      <c r="N179" t="s">
        <v>10</v>
      </c>
    </row>
    <row r="180" spans="1:14" x14ac:dyDescent="0.35">
      <c r="A180">
        <v>179</v>
      </c>
      <c r="B180">
        <v>40</v>
      </c>
      <c r="C180" t="s">
        <v>17</v>
      </c>
      <c r="D180" t="s">
        <v>15</v>
      </c>
      <c r="E180" s="1">
        <v>300</v>
      </c>
      <c r="F180" t="s">
        <v>5</v>
      </c>
      <c r="G180" t="s">
        <v>4</v>
      </c>
      <c r="H180" t="s">
        <v>5</v>
      </c>
      <c r="I180" t="s">
        <v>7</v>
      </c>
      <c r="J180" t="s">
        <v>8</v>
      </c>
      <c r="K180" t="s">
        <v>9</v>
      </c>
      <c r="L180" t="s">
        <v>9</v>
      </c>
      <c r="M180" t="s">
        <v>9</v>
      </c>
      <c r="N180" t="s">
        <v>10</v>
      </c>
    </row>
    <row r="181" spans="1:14" x14ac:dyDescent="0.35">
      <c r="A181">
        <v>180</v>
      </c>
      <c r="B181">
        <v>30</v>
      </c>
      <c r="C181" t="s">
        <v>2</v>
      </c>
      <c r="D181" t="s">
        <v>3</v>
      </c>
      <c r="E181" s="1">
        <v>300</v>
      </c>
      <c r="F181" t="s">
        <v>5</v>
      </c>
      <c r="G181" t="s">
        <v>4</v>
      </c>
      <c r="H181" t="s">
        <v>6</v>
      </c>
      <c r="I181" t="s">
        <v>14</v>
      </c>
      <c r="J181" t="s">
        <v>9</v>
      </c>
      <c r="K181" t="s">
        <v>9</v>
      </c>
      <c r="L181" t="s">
        <v>9</v>
      </c>
      <c r="M181" t="s">
        <v>9</v>
      </c>
      <c r="N181" t="s">
        <v>10</v>
      </c>
    </row>
    <row r="182" spans="1:14" x14ac:dyDescent="0.35">
      <c r="A182">
        <v>181</v>
      </c>
      <c r="B182">
        <v>37</v>
      </c>
      <c r="C182" t="s">
        <v>2</v>
      </c>
      <c r="D182" t="s">
        <v>11</v>
      </c>
      <c r="E182" s="1">
        <v>300</v>
      </c>
      <c r="F182" t="s">
        <v>5</v>
      </c>
      <c r="G182" t="s">
        <v>5</v>
      </c>
      <c r="H182" t="s">
        <v>6</v>
      </c>
      <c r="I182" t="s">
        <v>7</v>
      </c>
      <c r="J182" t="s">
        <v>8</v>
      </c>
      <c r="K182" t="s">
        <v>9</v>
      </c>
      <c r="L182" t="s">
        <v>8</v>
      </c>
      <c r="M182" t="s">
        <v>8</v>
      </c>
      <c r="N182" t="s">
        <v>10</v>
      </c>
    </row>
    <row r="183" spans="1:14" x14ac:dyDescent="0.35">
      <c r="A183">
        <v>182</v>
      </c>
      <c r="B183">
        <v>27</v>
      </c>
      <c r="C183" t="s">
        <v>2</v>
      </c>
      <c r="D183" t="s">
        <v>15</v>
      </c>
      <c r="E183" s="1">
        <v>450</v>
      </c>
      <c r="F183" t="s">
        <v>5</v>
      </c>
      <c r="G183" t="s">
        <v>5</v>
      </c>
      <c r="H183" t="s">
        <v>5</v>
      </c>
      <c r="I183" t="s">
        <v>7</v>
      </c>
      <c r="J183" t="s">
        <v>8</v>
      </c>
      <c r="K183" t="s">
        <v>8</v>
      </c>
      <c r="L183" t="s">
        <v>8</v>
      </c>
      <c r="M183" t="s">
        <v>8</v>
      </c>
      <c r="N183" t="s">
        <v>10</v>
      </c>
    </row>
    <row r="184" spans="1:14" x14ac:dyDescent="0.35">
      <c r="A184">
        <v>183</v>
      </c>
      <c r="B184">
        <v>19</v>
      </c>
      <c r="C184" t="s">
        <v>2</v>
      </c>
      <c r="D184" t="s">
        <v>15</v>
      </c>
      <c r="E184" s="1">
        <v>400</v>
      </c>
      <c r="F184" t="s">
        <v>5</v>
      </c>
      <c r="G184" t="s">
        <v>5</v>
      </c>
      <c r="H184" t="s">
        <v>6</v>
      </c>
      <c r="I184" t="s">
        <v>14</v>
      </c>
      <c r="J184" t="s">
        <v>9</v>
      </c>
      <c r="K184" t="s">
        <v>9</v>
      </c>
      <c r="L184" t="s">
        <v>9</v>
      </c>
      <c r="M184" t="s">
        <v>9</v>
      </c>
      <c r="N184" t="s">
        <v>10</v>
      </c>
    </row>
    <row r="185" spans="1:14" x14ac:dyDescent="0.35">
      <c r="A185">
        <v>184</v>
      </c>
      <c r="B185">
        <v>32</v>
      </c>
      <c r="C185" t="s">
        <v>2</v>
      </c>
      <c r="D185" t="s">
        <v>12</v>
      </c>
      <c r="E185" s="1">
        <v>300</v>
      </c>
      <c r="F185" t="s">
        <v>5</v>
      </c>
      <c r="G185" t="s">
        <v>4</v>
      </c>
      <c r="H185" t="s">
        <v>5</v>
      </c>
      <c r="I185" t="s">
        <v>7</v>
      </c>
      <c r="J185" t="s">
        <v>9</v>
      </c>
      <c r="K185" t="s">
        <v>9</v>
      </c>
      <c r="L185" t="s">
        <v>9</v>
      </c>
      <c r="M185" t="s">
        <v>9</v>
      </c>
      <c r="N185" t="s">
        <v>10</v>
      </c>
    </row>
    <row r="186" spans="1:14" x14ac:dyDescent="0.35">
      <c r="A186">
        <v>185</v>
      </c>
      <c r="B186">
        <v>38</v>
      </c>
      <c r="C186" t="s">
        <v>2</v>
      </c>
      <c r="D186" t="s">
        <v>12</v>
      </c>
      <c r="E186" s="1">
        <v>300</v>
      </c>
      <c r="F186" t="s">
        <v>5</v>
      </c>
      <c r="G186" t="s">
        <v>5</v>
      </c>
      <c r="H186" t="s">
        <v>6</v>
      </c>
      <c r="I186" t="s">
        <v>7</v>
      </c>
      <c r="J186" t="s">
        <v>9</v>
      </c>
      <c r="K186" t="s">
        <v>8</v>
      </c>
      <c r="L186" t="s">
        <v>8</v>
      </c>
      <c r="M186" t="s">
        <v>9</v>
      </c>
      <c r="N186" t="s">
        <v>10</v>
      </c>
    </row>
    <row r="187" spans="1:14" x14ac:dyDescent="0.35">
      <c r="A187">
        <v>186</v>
      </c>
      <c r="B187">
        <v>25</v>
      </c>
      <c r="C187" t="s">
        <v>2</v>
      </c>
      <c r="D187" t="s">
        <v>12</v>
      </c>
      <c r="E187" s="1">
        <v>800</v>
      </c>
      <c r="F187" t="s">
        <v>5</v>
      </c>
      <c r="G187" t="s">
        <v>5</v>
      </c>
      <c r="H187" t="s">
        <v>5</v>
      </c>
      <c r="I187" t="s">
        <v>14</v>
      </c>
      <c r="J187" t="s">
        <v>9</v>
      </c>
      <c r="K187" t="s">
        <v>9</v>
      </c>
      <c r="L187" t="s">
        <v>9</v>
      </c>
      <c r="M187" t="s">
        <v>9</v>
      </c>
      <c r="N187" t="s">
        <v>10</v>
      </c>
    </row>
    <row r="188" spans="1:14" x14ac:dyDescent="0.35">
      <c r="A188">
        <v>187</v>
      </c>
      <c r="B188">
        <v>24</v>
      </c>
      <c r="C188" t="s">
        <v>2</v>
      </c>
      <c r="D188" t="s">
        <v>3</v>
      </c>
      <c r="E188" s="1">
        <v>200</v>
      </c>
      <c r="F188" t="s">
        <v>6</v>
      </c>
      <c r="G188" t="s">
        <v>30</v>
      </c>
      <c r="H188" t="s">
        <v>30</v>
      </c>
      <c r="I188" t="s">
        <v>14</v>
      </c>
      <c r="J188" t="s">
        <v>9</v>
      </c>
      <c r="K188" t="s">
        <v>9</v>
      </c>
      <c r="L188" t="s">
        <v>9</v>
      </c>
      <c r="M188" t="s">
        <v>9</v>
      </c>
      <c r="N188" t="s">
        <v>10</v>
      </c>
    </row>
    <row r="189" spans="1:14" x14ac:dyDescent="0.35">
      <c r="A189">
        <v>188</v>
      </c>
      <c r="B189">
        <v>30</v>
      </c>
      <c r="C189" t="s">
        <v>2</v>
      </c>
      <c r="D189" t="s">
        <v>11</v>
      </c>
      <c r="E189" s="1">
        <v>600</v>
      </c>
      <c r="F189" t="s">
        <v>6</v>
      </c>
      <c r="G189" t="s">
        <v>30</v>
      </c>
      <c r="H189" t="s">
        <v>30</v>
      </c>
      <c r="I189" t="s">
        <v>7</v>
      </c>
      <c r="J189" t="s">
        <v>9</v>
      </c>
      <c r="K189" t="s">
        <v>9</v>
      </c>
      <c r="L189" t="s">
        <v>9</v>
      </c>
      <c r="M189" t="s">
        <v>8</v>
      </c>
      <c r="N189" t="s">
        <v>10</v>
      </c>
    </row>
    <row r="190" spans="1:14" x14ac:dyDescent="0.35">
      <c r="A190">
        <v>189</v>
      </c>
      <c r="B190">
        <v>29</v>
      </c>
      <c r="C190" t="s">
        <v>2</v>
      </c>
      <c r="D190" t="s">
        <v>15</v>
      </c>
      <c r="E190" s="1">
        <v>1000</v>
      </c>
      <c r="F190" t="s">
        <v>5</v>
      </c>
      <c r="G190" t="s">
        <v>5</v>
      </c>
      <c r="H190" t="s">
        <v>5</v>
      </c>
      <c r="I190" t="s">
        <v>7</v>
      </c>
      <c r="J190" t="s">
        <v>8</v>
      </c>
      <c r="K190" t="s">
        <v>8</v>
      </c>
      <c r="L190" t="s">
        <v>8</v>
      </c>
      <c r="M190" t="s">
        <v>8</v>
      </c>
      <c r="N190" t="s">
        <v>10</v>
      </c>
    </row>
    <row r="191" spans="1:14" x14ac:dyDescent="0.35">
      <c r="A191">
        <v>190</v>
      </c>
      <c r="B191">
        <v>32</v>
      </c>
      <c r="C191" t="s">
        <v>2</v>
      </c>
      <c r="D191" t="s">
        <v>11</v>
      </c>
      <c r="E191" s="1">
        <v>500</v>
      </c>
      <c r="F191" t="s">
        <v>5</v>
      </c>
      <c r="G191" t="s">
        <v>5</v>
      </c>
      <c r="H191" t="s">
        <v>5</v>
      </c>
      <c r="I191" t="s">
        <v>7</v>
      </c>
      <c r="J191" t="s">
        <v>8</v>
      </c>
      <c r="K191" t="s">
        <v>9</v>
      </c>
      <c r="L191" t="s">
        <v>9</v>
      </c>
      <c r="M191" t="s">
        <v>8</v>
      </c>
      <c r="N191" t="s">
        <v>10</v>
      </c>
    </row>
    <row r="192" spans="1:14" x14ac:dyDescent="0.35">
      <c r="A192">
        <v>191</v>
      </c>
      <c r="B192">
        <v>31</v>
      </c>
      <c r="C192" t="s">
        <v>2</v>
      </c>
      <c r="D192" t="s">
        <v>15</v>
      </c>
      <c r="E192" s="1">
        <v>800</v>
      </c>
      <c r="F192" t="s">
        <v>5</v>
      </c>
      <c r="G192" t="s">
        <v>5</v>
      </c>
      <c r="H192" t="s">
        <v>5</v>
      </c>
      <c r="I192" t="s">
        <v>7</v>
      </c>
      <c r="J192" t="s">
        <v>8</v>
      </c>
      <c r="K192" t="s">
        <v>9</v>
      </c>
      <c r="L192" t="s">
        <v>8</v>
      </c>
      <c r="M192" t="s">
        <v>8</v>
      </c>
      <c r="N192" t="s">
        <v>10</v>
      </c>
    </row>
    <row r="193" spans="1:14" x14ac:dyDescent="0.35">
      <c r="A193">
        <v>192</v>
      </c>
      <c r="B193">
        <v>31</v>
      </c>
      <c r="C193" t="s">
        <v>2</v>
      </c>
      <c r="D193" t="s">
        <v>11</v>
      </c>
      <c r="E193" s="1">
        <v>600</v>
      </c>
      <c r="F193" t="s">
        <v>5</v>
      </c>
      <c r="G193" t="s">
        <v>4</v>
      </c>
      <c r="H193" t="s">
        <v>6</v>
      </c>
      <c r="I193" t="s">
        <v>14</v>
      </c>
      <c r="J193" t="s">
        <v>9</v>
      </c>
      <c r="K193" t="s">
        <v>9</v>
      </c>
      <c r="L193" t="s">
        <v>9</v>
      </c>
      <c r="M193" t="s">
        <v>9</v>
      </c>
      <c r="N193" t="s">
        <v>10</v>
      </c>
    </row>
    <row r="194" spans="1:14" x14ac:dyDescent="0.35">
      <c r="A194">
        <v>193</v>
      </c>
      <c r="B194">
        <v>35</v>
      </c>
      <c r="C194" t="s">
        <v>16</v>
      </c>
      <c r="D194" t="s">
        <v>12</v>
      </c>
      <c r="E194" s="1">
        <v>300</v>
      </c>
      <c r="F194" t="s">
        <v>6</v>
      </c>
      <c r="G194" t="s">
        <v>30</v>
      </c>
      <c r="H194" t="s">
        <v>30</v>
      </c>
      <c r="I194" t="s">
        <v>7</v>
      </c>
      <c r="J194" t="s">
        <v>9</v>
      </c>
      <c r="K194" t="s">
        <v>9</v>
      </c>
      <c r="L194" t="s">
        <v>9</v>
      </c>
      <c r="M194" t="s">
        <v>9</v>
      </c>
      <c r="N194" t="s">
        <v>10</v>
      </c>
    </row>
    <row r="195" spans="1:14" x14ac:dyDescent="0.35">
      <c r="A195">
        <v>194</v>
      </c>
      <c r="B195">
        <v>20</v>
      </c>
      <c r="C195" t="s">
        <v>2</v>
      </c>
      <c r="D195" t="s">
        <v>15</v>
      </c>
      <c r="E195" s="1">
        <v>300</v>
      </c>
      <c r="F195" t="s">
        <v>5</v>
      </c>
      <c r="G195" t="s">
        <v>5</v>
      </c>
      <c r="H195" t="s">
        <v>6</v>
      </c>
      <c r="I195" t="s">
        <v>14</v>
      </c>
      <c r="J195" t="s">
        <v>9</v>
      </c>
      <c r="K195" t="s">
        <v>9</v>
      </c>
      <c r="L195" t="s">
        <v>9</v>
      </c>
      <c r="M195" t="s">
        <v>9</v>
      </c>
      <c r="N195" t="s">
        <v>10</v>
      </c>
    </row>
    <row r="196" spans="1:14" x14ac:dyDescent="0.35">
      <c r="A196">
        <v>195</v>
      </c>
      <c r="B196">
        <v>18</v>
      </c>
      <c r="C196" t="s">
        <v>2</v>
      </c>
      <c r="D196" t="s">
        <v>12</v>
      </c>
      <c r="E196" s="1">
        <v>200</v>
      </c>
      <c r="F196" t="s">
        <v>5</v>
      </c>
      <c r="G196" t="s">
        <v>5</v>
      </c>
      <c r="H196" t="s">
        <v>6</v>
      </c>
      <c r="I196" t="s">
        <v>7</v>
      </c>
      <c r="J196" t="s">
        <v>9</v>
      </c>
      <c r="K196" t="s">
        <v>9</v>
      </c>
      <c r="L196" t="s">
        <v>9</v>
      </c>
      <c r="M196" t="s">
        <v>9</v>
      </c>
      <c r="N196" t="s">
        <v>10</v>
      </c>
    </row>
    <row r="197" spans="1:14" x14ac:dyDescent="0.35">
      <c r="A197">
        <v>196</v>
      </c>
      <c r="B197">
        <v>28</v>
      </c>
      <c r="C197" t="s">
        <v>2</v>
      </c>
      <c r="D197" t="s">
        <v>15</v>
      </c>
      <c r="E197" s="1">
        <v>700</v>
      </c>
      <c r="F197" t="s">
        <v>5</v>
      </c>
      <c r="G197" t="s">
        <v>5</v>
      </c>
      <c r="H197" t="s">
        <v>6</v>
      </c>
      <c r="I197" t="s">
        <v>7</v>
      </c>
      <c r="J197" t="s">
        <v>8</v>
      </c>
      <c r="K197" t="s">
        <v>9</v>
      </c>
      <c r="L197" t="s">
        <v>8</v>
      </c>
      <c r="M197" t="s">
        <v>8</v>
      </c>
      <c r="N197" t="s">
        <v>10</v>
      </c>
    </row>
    <row r="198" spans="1:14" x14ac:dyDescent="0.35">
      <c r="A198">
        <v>197</v>
      </c>
      <c r="B198">
        <v>28</v>
      </c>
      <c r="C198" t="s">
        <v>2</v>
      </c>
      <c r="D198" t="s">
        <v>3</v>
      </c>
      <c r="E198" s="1">
        <v>150</v>
      </c>
      <c r="F198" t="s">
        <v>6</v>
      </c>
      <c r="G198" t="s">
        <v>30</v>
      </c>
      <c r="H198" t="s">
        <v>30</v>
      </c>
      <c r="I198" t="s">
        <v>14</v>
      </c>
      <c r="J198" t="s">
        <v>9</v>
      </c>
      <c r="K198" t="s">
        <v>9</v>
      </c>
      <c r="L198" t="s">
        <v>9</v>
      </c>
      <c r="M198" t="s">
        <v>9</v>
      </c>
      <c r="N198" t="s">
        <v>10</v>
      </c>
    </row>
    <row r="199" spans="1:14" x14ac:dyDescent="0.35">
      <c r="A199">
        <v>198</v>
      </c>
      <c r="B199">
        <v>27</v>
      </c>
      <c r="C199" t="s">
        <v>2</v>
      </c>
      <c r="D199" t="s">
        <v>15</v>
      </c>
      <c r="E199" s="1">
        <v>800</v>
      </c>
      <c r="F199" t="s">
        <v>5</v>
      </c>
      <c r="G199" t="s">
        <v>5</v>
      </c>
      <c r="H199" t="s">
        <v>6</v>
      </c>
      <c r="I199" t="s">
        <v>7</v>
      </c>
      <c r="J199" t="s">
        <v>9</v>
      </c>
      <c r="K199" t="s">
        <v>9</v>
      </c>
      <c r="L199" t="s">
        <v>9</v>
      </c>
      <c r="M199" t="s">
        <v>9</v>
      </c>
      <c r="N199" t="s">
        <v>10</v>
      </c>
    </row>
    <row r="200" spans="1:14" x14ac:dyDescent="0.35">
      <c r="A200">
        <v>199</v>
      </c>
      <c r="B200">
        <v>26</v>
      </c>
      <c r="C200" t="s">
        <v>2</v>
      </c>
      <c r="D200" t="s">
        <v>12</v>
      </c>
      <c r="E200" s="1">
        <v>1500</v>
      </c>
      <c r="F200" t="s">
        <v>5</v>
      </c>
      <c r="G200" t="s">
        <v>5</v>
      </c>
      <c r="H200" t="s">
        <v>6</v>
      </c>
      <c r="I200" t="s">
        <v>7</v>
      </c>
      <c r="J200" t="s">
        <v>8</v>
      </c>
      <c r="K200" t="s">
        <v>8</v>
      </c>
      <c r="L200" t="s">
        <v>8</v>
      </c>
      <c r="M200" t="s">
        <v>8</v>
      </c>
      <c r="N200" t="s">
        <v>10</v>
      </c>
    </row>
    <row r="201" spans="1:14" x14ac:dyDescent="0.35">
      <c r="A201">
        <v>200</v>
      </c>
      <c r="B201">
        <v>34</v>
      </c>
      <c r="C201" t="s">
        <v>2</v>
      </c>
      <c r="D201" t="s">
        <v>11</v>
      </c>
      <c r="E201" s="1">
        <v>600</v>
      </c>
      <c r="F201" t="s">
        <v>5</v>
      </c>
      <c r="G201" t="s">
        <v>5</v>
      </c>
      <c r="H201" t="s">
        <v>6</v>
      </c>
      <c r="I201" t="s">
        <v>14</v>
      </c>
      <c r="J201" t="s">
        <v>9</v>
      </c>
      <c r="K201" t="s">
        <v>9</v>
      </c>
      <c r="L201" t="s">
        <v>9</v>
      </c>
      <c r="M201" t="s">
        <v>9</v>
      </c>
      <c r="N201" t="s">
        <v>10</v>
      </c>
    </row>
    <row r="202" spans="1:14" x14ac:dyDescent="0.35">
      <c r="A202">
        <v>201</v>
      </c>
      <c r="B202">
        <v>20</v>
      </c>
      <c r="C202" t="s">
        <v>2</v>
      </c>
      <c r="D202" t="s">
        <v>12</v>
      </c>
      <c r="E202" s="1">
        <v>200</v>
      </c>
      <c r="F202" t="s">
        <v>5</v>
      </c>
      <c r="G202" t="s">
        <v>4</v>
      </c>
      <c r="H202" t="s">
        <v>5</v>
      </c>
      <c r="I202" t="s">
        <v>14</v>
      </c>
      <c r="J202" t="s">
        <v>9</v>
      </c>
      <c r="K202" t="s">
        <v>9</v>
      </c>
      <c r="L202" t="s">
        <v>9</v>
      </c>
      <c r="M202" t="s">
        <v>9</v>
      </c>
      <c r="N202" t="s">
        <v>10</v>
      </c>
    </row>
    <row r="203" spans="1:14" x14ac:dyDescent="0.35">
      <c r="A203">
        <v>202</v>
      </c>
      <c r="B203">
        <v>37</v>
      </c>
      <c r="C203" t="s">
        <v>2</v>
      </c>
      <c r="D203" t="s">
        <v>15</v>
      </c>
      <c r="E203" s="1">
        <v>500</v>
      </c>
      <c r="F203" t="s">
        <v>5</v>
      </c>
      <c r="G203" t="s">
        <v>5</v>
      </c>
      <c r="H203" t="s">
        <v>6</v>
      </c>
      <c r="I203" t="s">
        <v>14</v>
      </c>
      <c r="J203" t="s">
        <v>8</v>
      </c>
      <c r="K203" t="s">
        <v>8</v>
      </c>
      <c r="L203" t="s">
        <v>9</v>
      </c>
      <c r="M203" t="s">
        <v>8</v>
      </c>
      <c r="N203" t="s">
        <v>10</v>
      </c>
    </row>
    <row r="204" spans="1:14" x14ac:dyDescent="0.35">
      <c r="A204">
        <v>203</v>
      </c>
      <c r="B204">
        <v>32</v>
      </c>
      <c r="C204" t="s">
        <v>2</v>
      </c>
      <c r="D204" t="s">
        <v>11</v>
      </c>
      <c r="E204" s="1">
        <v>1200</v>
      </c>
      <c r="F204" t="s">
        <v>5</v>
      </c>
      <c r="G204" t="s">
        <v>5</v>
      </c>
      <c r="H204" t="s">
        <v>5</v>
      </c>
      <c r="I204" t="s">
        <v>7</v>
      </c>
      <c r="J204" t="s">
        <v>9</v>
      </c>
      <c r="K204" t="s">
        <v>9</v>
      </c>
      <c r="L204" t="s">
        <v>9</v>
      </c>
      <c r="M204" t="s">
        <v>8</v>
      </c>
      <c r="N204" t="s">
        <v>10</v>
      </c>
    </row>
    <row r="205" spans="1:14" x14ac:dyDescent="0.35">
      <c r="A205">
        <v>204</v>
      </c>
      <c r="B205">
        <v>20</v>
      </c>
      <c r="C205" t="s">
        <v>2</v>
      </c>
      <c r="D205" t="s">
        <v>15</v>
      </c>
      <c r="E205" s="1">
        <v>300</v>
      </c>
      <c r="F205" t="s">
        <v>5</v>
      </c>
      <c r="G205" t="s">
        <v>5</v>
      </c>
      <c r="H205" t="s">
        <v>6</v>
      </c>
      <c r="I205" t="s">
        <v>14</v>
      </c>
      <c r="J205" t="s">
        <v>9</v>
      </c>
      <c r="K205" t="s">
        <v>9</v>
      </c>
      <c r="L205" t="s">
        <v>9</v>
      </c>
      <c r="M205" t="s">
        <v>9</v>
      </c>
      <c r="N205" t="s">
        <v>10</v>
      </c>
    </row>
    <row r="206" spans="1:14" x14ac:dyDescent="0.35">
      <c r="A206">
        <v>205</v>
      </c>
      <c r="B206">
        <v>29</v>
      </c>
      <c r="C206" t="s">
        <v>2</v>
      </c>
      <c r="D206" t="s">
        <v>15</v>
      </c>
      <c r="E206" s="1">
        <v>200</v>
      </c>
      <c r="F206" t="s">
        <v>5</v>
      </c>
      <c r="G206" t="s">
        <v>5</v>
      </c>
      <c r="H206" t="s">
        <v>6</v>
      </c>
      <c r="I206" t="s">
        <v>7</v>
      </c>
      <c r="J206" t="s">
        <v>9</v>
      </c>
      <c r="K206" t="s">
        <v>9</v>
      </c>
      <c r="L206" t="s">
        <v>9</v>
      </c>
      <c r="M206" t="s">
        <v>9</v>
      </c>
      <c r="N206" t="s">
        <v>10</v>
      </c>
    </row>
    <row r="207" spans="1:14" x14ac:dyDescent="0.35">
      <c r="A207">
        <v>206</v>
      </c>
      <c r="B207">
        <v>20</v>
      </c>
      <c r="C207" t="s">
        <v>2</v>
      </c>
      <c r="D207" t="s">
        <v>12</v>
      </c>
      <c r="E207" s="1">
        <v>250</v>
      </c>
      <c r="F207" t="s">
        <v>5</v>
      </c>
      <c r="G207" t="s">
        <v>5</v>
      </c>
      <c r="H207" t="s">
        <v>6</v>
      </c>
      <c r="I207" t="s">
        <v>7</v>
      </c>
      <c r="J207" t="s">
        <v>9</v>
      </c>
      <c r="K207" t="s">
        <v>9</v>
      </c>
      <c r="L207" t="s">
        <v>9</v>
      </c>
      <c r="M207" t="s">
        <v>9</v>
      </c>
      <c r="N207" t="s">
        <v>10</v>
      </c>
    </row>
    <row r="208" spans="1:14" x14ac:dyDescent="0.35">
      <c r="A208">
        <v>207</v>
      </c>
      <c r="B208">
        <v>20</v>
      </c>
      <c r="C208" t="s">
        <v>2</v>
      </c>
      <c r="D208" t="s">
        <v>12</v>
      </c>
      <c r="E208" s="1">
        <v>300</v>
      </c>
      <c r="F208" t="s">
        <v>6</v>
      </c>
      <c r="G208" t="s">
        <v>30</v>
      </c>
      <c r="H208" t="s">
        <v>30</v>
      </c>
      <c r="I208" t="s">
        <v>14</v>
      </c>
      <c r="J208" t="s">
        <v>9</v>
      </c>
      <c r="K208" t="s">
        <v>9</v>
      </c>
      <c r="L208" t="s">
        <v>9</v>
      </c>
      <c r="M208" t="s">
        <v>9</v>
      </c>
      <c r="N208" t="s">
        <v>10</v>
      </c>
    </row>
    <row r="209" spans="1:14" x14ac:dyDescent="0.35">
      <c r="A209">
        <v>208</v>
      </c>
      <c r="B209">
        <v>19</v>
      </c>
      <c r="C209" t="s">
        <v>2</v>
      </c>
      <c r="D209" t="s">
        <v>15</v>
      </c>
      <c r="E209" s="1">
        <v>150</v>
      </c>
      <c r="F209" t="s">
        <v>6</v>
      </c>
      <c r="G209" t="s">
        <v>30</v>
      </c>
      <c r="H209" t="s">
        <v>30</v>
      </c>
      <c r="I209" t="s">
        <v>7</v>
      </c>
      <c r="J209" t="s">
        <v>9</v>
      </c>
      <c r="K209" t="s">
        <v>9</v>
      </c>
      <c r="L209" t="s">
        <v>9</v>
      </c>
      <c r="M209" t="s">
        <v>9</v>
      </c>
      <c r="N209" t="s">
        <v>10</v>
      </c>
    </row>
    <row r="210" spans="1:14" x14ac:dyDescent="0.35">
      <c r="A210">
        <v>209</v>
      </c>
      <c r="B210">
        <v>31</v>
      </c>
      <c r="C210" t="s">
        <v>2</v>
      </c>
      <c r="D210" t="s">
        <v>11</v>
      </c>
      <c r="E210" s="1">
        <v>1000</v>
      </c>
      <c r="F210" t="s">
        <v>5</v>
      </c>
      <c r="G210" t="s">
        <v>5</v>
      </c>
      <c r="H210" t="s">
        <v>6</v>
      </c>
      <c r="I210" t="s">
        <v>7</v>
      </c>
      <c r="J210" t="s">
        <v>8</v>
      </c>
      <c r="K210" t="s">
        <v>8</v>
      </c>
      <c r="L210" t="s">
        <v>8</v>
      </c>
      <c r="M210" t="s">
        <v>8</v>
      </c>
      <c r="N210" t="s">
        <v>10</v>
      </c>
    </row>
    <row r="211" spans="1:14" x14ac:dyDescent="0.35">
      <c r="A211">
        <v>210</v>
      </c>
      <c r="B211">
        <v>31</v>
      </c>
      <c r="C211" t="s">
        <v>2</v>
      </c>
      <c r="D211" t="s">
        <v>15</v>
      </c>
      <c r="E211" s="1">
        <v>200</v>
      </c>
      <c r="F211" t="s">
        <v>5</v>
      </c>
      <c r="G211" t="s">
        <v>5</v>
      </c>
      <c r="H211" t="s">
        <v>6</v>
      </c>
      <c r="I211" t="s">
        <v>7</v>
      </c>
      <c r="J211" t="s">
        <v>9</v>
      </c>
      <c r="K211" t="s">
        <v>8</v>
      </c>
      <c r="L211" t="s">
        <v>9</v>
      </c>
      <c r="M211" t="s">
        <v>8</v>
      </c>
      <c r="N211" t="s">
        <v>10</v>
      </c>
    </row>
    <row r="212" spans="1:14" x14ac:dyDescent="0.35">
      <c r="A212">
        <v>211</v>
      </c>
      <c r="B212">
        <v>30</v>
      </c>
      <c r="C212" t="s">
        <v>2</v>
      </c>
      <c r="D212" t="s">
        <v>11</v>
      </c>
      <c r="E212" s="1">
        <v>180</v>
      </c>
      <c r="F212" t="s">
        <v>5</v>
      </c>
      <c r="G212" t="s">
        <v>5</v>
      </c>
      <c r="H212" t="s">
        <v>6</v>
      </c>
      <c r="I212" t="s">
        <v>14</v>
      </c>
      <c r="J212" t="s">
        <v>9</v>
      </c>
      <c r="K212" t="s">
        <v>9</v>
      </c>
      <c r="L212" t="s">
        <v>9</v>
      </c>
      <c r="M212" t="s">
        <v>9</v>
      </c>
      <c r="N212" t="s">
        <v>10</v>
      </c>
    </row>
    <row r="213" spans="1:14" x14ac:dyDescent="0.35">
      <c r="A213">
        <v>212</v>
      </c>
      <c r="B213">
        <v>23</v>
      </c>
      <c r="C213" t="s">
        <v>2</v>
      </c>
      <c r="D213" t="s">
        <v>12</v>
      </c>
      <c r="E213" s="1">
        <v>1000</v>
      </c>
      <c r="F213" t="s">
        <v>5</v>
      </c>
      <c r="G213" t="s">
        <v>5</v>
      </c>
      <c r="H213" t="s">
        <v>5</v>
      </c>
      <c r="I213" t="s">
        <v>7</v>
      </c>
      <c r="J213" t="s">
        <v>8</v>
      </c>
      <c r="K213" t="s">
        <v>8</v>
      </c>
      <c r="L213" t="s">
        <v>8</v>
      </c>
      <c r="M213" t="s">
        <v>8</v>
      </c>
      <c r="N213" t="s">
        <v>10</v>
      </c>
    </row>
    <row r="214" spans="1:14" x14ac:dyDescent="0.35">
      <c r="A214">
        <v>213</v>
      </c>
      <c r="B214">
        <v>29</v>
      </c>
      <c r="C214" t="s">
        <v>2</v>
      </c>
      <c r="D214" t="s">
        <v>3</v>
      </c>
      <c r="E214" s="1">
        <v>300</v>
      </c>
      <c r="F214" t="s">
        <v>6</v>
      </c>
      <c r="G214" t="s">
        <v>30</v>
      </c>
      <c r="H214" t="s">
        <v>30</v>
      </c>
      <c r="I214" t="s">
        <v>14</v>
      </c>
      <c r="J214" t="s">
        <v>9</v>
      </c>
      <c r="K214" t="s">
        <v>9</v>
      </c>
      <c r="L214" t="s">
        <v>9</v>
      </c>
      <c r="M214" t="s">
        <v>9</v>
      </c>
      <c r="N214" t="s">
        <v>10</v>
      </c>
    </row>
    <row r="215" spans="1:14" x14ac:dyDescent="0.35">
      <c r="A215">
        <v>214</v>
      </c>
      <c r="B215">
        <v>33</v>
      </c>
      <c r="C215" t="s">
        <v>16</v>
      </c>
      <c r="D215" t="s">
        <v>11</v>
      </c>
      <c r="E215" s="1">
        <v>600</v>
      </c>
      <c r="F215" t="s">
        <v>5</v>
      </c>
      <c r="G215" t="s">
        <v>5</v>
      </c>
      <c r="H215" t="s">
        <v>6</v>
      </c>
      <c r="I215" t="s">
        <v>7</v>
      </c>
      <c r="J215" t="s">
        <v>8</v>
      </c>
      <c r="K215" t="s">
        <v>9</v>
      </c>
      <c r="L215" t="s">
        <v>9</v>
      </c>
      <c r="M215" t="s">
        <v>9</v>
      </c>
      <c r="N215" t="s">
        <v>10</v>
      </c>
    </row>
    <row r="216" spans="1:14" x14ac:dyDescent="0.35">
      <c r="A216">
        <v>215</v>
      </c>
      <c r="B216">
        <v>28</v>
      </c>
      <c r="C216" t="s">
        <v>2</v>
      </c>
      <c r="D216" t="s">
        <v>12</v>
      </c>
      <c r="E216" s="1">
        <v>200</v>
      </c>
      <c r="F216" t="s">
        <v>5</v>
      </c>
      <c r="G216" t="s">
        <v>5</v>
      </c>
      <c r="H216" t="s">
        <v>6</v>
      </c>
      <c r="I216" t="s">
        <v>14</v>
      </c>
      <c r="J216" t="s">
        <v>9</v>
      </c>
      <c r="K216" t="s">
        <v>9</v>
      </c>
      <c r="L216" t="s">
        <v>9</v>
      </c>
      <c r="M216" t="s">
        <v>9</v>
      </c>
      <c r="N216" t="s">
        <v>10</v>
      </c>
    </row>
    <row r="217" spans="1:14" x14ac:dyDescent="0.35">
      <c r="A217">
        <v>216</v>
      </c>
      <c r="B217">
        <v>28</v>
      </c>
      <c r="C217" t="s">
        <v>2</v>
      </c>
      <c r="D217" t="s">
        <v>11</v>
      </c>
      <c r="E217" s="1">
        <v>1600</v>
      </c>
      <c r="F217" t="s">
        <v>5</v>
      </c>
      <c r="G217" t="s">
        <v>5</v>
      </c>
      <c r="H217" t="s">
        <v>5</v>
      </c>
      <c r="I217" t="s">
        <v>7</v>
      </c>
      <c r="J217" t="s">
        <v>8</v>
      </c>
      <c r="K217" t="s">
        <v>8</v>
      </c>
      <c r="L217" t="s">
        <v>8</v>
      </c>
      <c r="M217" t="s">
        <v>8</v>
      </c>
      <c r="N217" t="s">
        <v>10</v>
      </c>
    </row>
    <row r="218" spans="1:14" x14ac:dyDescent="0.35">
      <c r="A218">
        <v>217</v>
      </c>
      <c r="B218">
        <v>22</v>
      </c>
      <c r="C218" t="s">
        <v>2</v>
      </c>
      <c r="D218" t="s">
        <v>12</v>
      </c>
      <c r="E218" s="1">
        <v>150</v>
      </c>
      <c r="F218" t="s">
        <v>5</v>
      </c>
      <c r="G218" t="s">
        <v>4</v>
      </c>
      <c r="H218" t="s">
        <v>6</v>
      </c>
      <c r="I218" t="s">
        <v>7</v>
      </c>
      <c r="J218" t="s">
        <v>9</v>
      </c>
      <c r="K218" t="s">
        <v>9</v>
      </c>
      <c r="L218" t="s">
        <v>9</v>
      </c>
      <c r="M218" t="s">
        <v>9</v>
      </c>
      <c r="N218" t="s">
        <v>10</v>
      </c>
    </row>
    <row r="219" spans="1:14" x14ac:dyDescent="0.35">
      <c r="A219">
        <v>218</v>
      </c>
      <c r="B219">
        <v>28</v>
      </c>
      <c r="C219" t="s">
        <v>2</v>
      </c>
      <c r="D219" t="s">
        <v>11</v>
      </c>
      <c r="E219" s="1">
        <v>400</v>
      </c>
      <c r="F219" t="s">
        <v>5</v>
      </c>
      <c r="G219" t="s">
        <v>5</v>
      </c>
      <c r="H219" t="s">
        <v>6</v>
      </c>
      <c r="I219" t="s">
        <v>7</v>
      </c>
      <c r="J219" t="s">
        <v>8</v>
      </c>
      <c r="K219" t="s">
        <v>8</v>
      </c>
      <c r="L219" t="s">
        <v>8</v>
      </c>
      <c r="M219" t="s">
        <v>8</v>
      </c>
      <c r="N219" t="s">
        <v>10</v>
      </c>
    </row>
    <row r="220" spans="1:14" x14ac:dyDescent="0.35">
      <c r="A220">
        <v>219</v>
      </c>
      <c r="B220">
        <v>27</v>
      </c>
      <c r="C220" t="s">
        <v>2</v>
      </c>
      <c r="D220" t="s">
        <v>12</v>
      </c>
      <c r="E220" s="1">
        <v>500</v>
      </c>
      <c r="F220" t="s">
        <v>5</v>
      </c>
      <c r="G220" t="s">
        <v>5</v>
      </c>
      <c r="H220" t="s">
        <v>6</v>
      </c>
      <c r="I220" t="s">
        <v>7</v>
      </c>
      <c r="J220" t="s">
        <v>8</v>
      </c>
      <c r="K220" t="s">
        <v>9</v>
      </c>
      <c r="L220" t="s">
        <v>9</v>
      </c>
      <c r="M220" t="s">
        <v>8</v>
      </c>
      <c r="N220" t="s">
        <v>10</v>
      </c>
    </row>
    <row r="221" spans="1:14" x14ac:dyDescent="0.35">
      <c r="A221">
        <v>220</v>
      </c>
      <c r="B221">
        <v>38</v>
      </c>
      <c r="C221" t="s">
        <v>2</v>
      </c>
      <c r="D221" t="s">
        <v>11</v>
      </c>
      <c r="E221" s="1">
        <v>600</v>
      </c>
      <c r="F221" t="s">
        <v>5</v>
      </c>
      <c r="G221" t="s">
        <v>5</v>
      </c>
      <c r="H221" t="s">
        <v>5</v>
      </c>
      <c r="I221" t="s">
        <v>7</v>
      </c>
      <c r="J221" t="s">
        <v>8</v>
      </c>
      <c r="K221" t="s">
        <v>8</v>
      </c>
      <c r="L221" t="s">
        <v>8</v>
      </c>
      <c r="M221" t="s">
        <v>8</v>
      </c>
      <c r="N221" t="s">
        <v>10</v>
      </c>
    </row>
    <row r="222" spans="1:14" x14ac:dyDescent="0.35">
      <c r="A222">
        <v>221</v>
      </c>
      <c r="B222">
        <v>26</v>
      </c>
      <c r="C222" t="s">
        <v>2</v>
      </c>
      <c r="D222" t="s">
        <v>15</v>
      </c>
      <c r="E222" s="1">
        <v>400</v>
      </c>
      <c r="F222" t="s">
        <v>5</v>
      </c>
      <c r="G222" t="s">
        <v>4</v>
      </c>
      <c r="H222" t="s">
        <v>5</v>
      </c>
      <c r="I222" t="s">
        <v>14</v>
      </c>
      <c r="J222" t="s">
        <v>9</v>
      </c>
      <c r="K222" t="s">
        <v>9</v>
      </c>
      <c r="L222" t="s">
        <v>9</v>
      </c>
      <c r="M222" t="s">
        <v>9</v>
      </c>
      <c r="N222" t="s">
        <v>10</v>
      </c>
    </row>
    <row r="223" spans="1:14" x14ac:dyDescent="0.35">
      <c r="A223">
        <v>222</v>
      </c>
      <c r="B223">
        <v>30</v>
      </c>
      <c r="C223" t="s">
        <v>2</v>
      </c>
      <c r="D223" t="s">
        <v>12</v>
      </c>
      <c r="E223" s="1">
        <v>500</v>
      </c>
      <c r="F223" t="s">
        <v>5</v>
      </c>
      <c r="G223" t="s">
        <v>5</v>
      </c>
      <c r="H223" t="s">
        <v>6</v>
      </c>
      <c r="I223" t="s">
        <v>7</v>
      </c>
      <c r="J223" t="s">
        <v>9</v>
      </c>
      <c r="K223" t="s">
        <v>9</v>
      </c>
      <c r="L223" t="s">
        <v>9</v>
      </c>
      <c r="M223" t="s">
        <v>9</v>
      </c>
      <c r="N223" t="s">
        <v>10</v>
      </c>
    </row>
    <row r="224" spans="1:14" x14ac:dyDescent="0.35">
      <c r="A224">
        <v>223</v>
      </c>
      <c r="B224">
        <v>26</v>
      </c>
      <c r="C224" t="s">
        <v>2</v>
      </c>
      <c r="D224" t="s">
        <v>11</v>
      </c>
      <c r="E224" s="1">
        <v>350</v>
      </c>
      <c r="F224" t="s">
        <v>5</v>
      </c>
      <c r="G224" t="s">
        <v>5</v>
      </c>
      <c r="H224" t="s">
        <v>6</v>
      </c>
      <c r="I224" t="s">
        <v>14</v>
      </c>
      <c r="J224" t="s">
        <v>9</v>
      </c>
      <c r="K224" t="s">
        <v>9</v>
      </c>
      <c r="L224" t="s">
        <v>9</v>
      </c>
      <c r="M224" t="s">
        <v>9</v>
      </c>
      <c r="N224" t="s">
        <v>10</v>
      </c>
    </row>
    <row r="225" spans="1:14" x14ac:dyDescent="0.35">
      <c r="A225">
        <v>224</v>
      </c>
      <c r="B225">
        <v>22</v>
      </c>
      <c r="C225" t="s">
        <v>2</v>
      </c>
      <c r="D225" t="s">
        <v>11</v>
      </c>
      <c r="E225" s="1">
        <v>600</v>
      </c>
      <c r="F225" t="s">
        <v>5</v>
      </c>
      <c r="G225" t="s">
        <v>5</v>
      </c>
      <c r="H225" t="s">
        <v>6</v>
      </c>
      <c r="I225" t="s">
        <v>14</v>
      </c>
      <c r="J225" t="s">
        <v>9</v>
      </c>
      <c r="K225" t="s">
        <v>9</v>
      </c>
      <c r="L225" t="s">
        <v>9</v>
      </c>
      <c r="M225" t="s">
        <v>9</v>
      </c>
      <c r="N225" t="s">
        <v>10</v>
      </c>
    </row>
    <row r="226" spans="1:14" x14ac:dyDescent="0.35">
      <c r="A226">
        <v>225</v>
      </c>
      <c r="B226">
        <v>32</v>
      </c>
      <c r="C226" t="s">
        <v>2</v>
      </c>
      <c r="D226" t="s">
        <v>3</v>
      </c>
      <c r="E226" s="1">
        <v>200</v>
      </c>
      <c r="F226" t="s">
        <v>5</v>
      </c>
      <c r="G226" t="s">
        <v>4</v>
      </c>
      <c r="H226" t="s">
        <v>6</v>
      </c>
      <c r="I226" t="s">
        <v>7</v>
      </c>
      <c r="J226" t="s">
        <v>9</v>
      </c>
      <c r="K226" t="s">
        <v>9</v>
      </c>
      <c r="L226" t="s">
        <v>9</v>
      </c>
      <c r="M226" t="s">
        <v>9</v>
      </c>
      <c r="N226" t="s">
        <v>10</v>
      </c>
    </row>
    <row r="227" spans="1:14" x14ac:dyDescent="0.35">
      <c r="A227">
        <v>226</v>
      </c>
      <c r="B227">
        <v>34</v>
      </c>
      <c r="C227" t="s">
        <v>2</v>
      </c>
      <c r="D227" t="s">
        <v>11</v>
      </c>
      <c r="E227" s="1">
        <v>600</v>
      </c>
      <c r="F227" t="s">
        <v>5</v>
      </c>
      <c r="G227" t="s">
        <v>5</v>
      </c>
      <c r="H227" t="s">
        <v>6</v>
      </c>
      <c r="I227" t="s">
        <v>14</v>
      </c>
      <c r="J227" t="s">
        <v>9</v>
      </c>
      <c r="K227" t="s">
        <v>9</v>
      </c>
      <c r="L227" t="s">
        <v>9</v>
      </c>
      <c r="M227" t="s">
        <v>9</v>
      </c>
      <c r="N227" t="s">
        <v>10</v>
      </c>
    </row>
    <row r="228" spans="1:14" x14ac:dyDescent="0.35">
      <c r="A228">
        <v>227</v>
      </c>
      <c r="B228">
        <v>33</v>
      </c>
      <c r="C228" t="s">
        <v>16</v>
      </c>
      <c r="D228" t="s">
        <v>11</v>
      </c>
      <c r="E228" s="1">
        <v>600</v>
      </c>
      <c r="F228" t="s">
        <v>5</v>
      </c>
      <c r="G228" t="s">
        <v>5</v>
      </c>
      <c r="H228" t="s">
        <v>6</v>
      </c>
      <c r="I228" t="s">
        <v>7</v>
      </c>
      <c r="J228" t="s">
        <v>9</v>
      </c>
      <c r="K228" t="s">
        <v>9</v>
      </c>
      <c r="L228" t="s">
        <v>9</v>
      </c>
      <c r="M228" t="s">
        <v>9</v>
      </c>
      <c r="N228" t="s">
        <v>10</v>
      </c>
    </row>
    <row r="229" spans="1:14" x14ac:dyDescent="0.35">
      <c r="A229">
        <v>228</v>
      </c>
      <c r="B229">
        <v>28</v>
      </c>
      <c r="C229" t="s">
        <v>2</v>
      </c>
      <c r="D229" t="s">
        <v>11</v>
      </c>
      <c r="E229" s="1">
        <v>1600</v>
      </c>
      <c r="F229" t="s">
        <v>5</v>
      </c>
      <c r="G229" t="s">
        <v>5</v>
      </c>
      <c r="H229" t="s">
        <v>5</v>
      </c>
      <c r="I229" t="s">
        <v>7</v>
      </c>
      <c r="J229" t="s">
        <v>9</v>
      </c>
      <c r="K229" t="s">
        <v>8</v>
      </c>
      <c r="L229" t="s">
        <v>8</v>
      </c>
      <c r="M229" t="s">
        <v>8</v>
      </c>
      <c r="N229" t="s">
        <v>10</v>
      </c>
    </row>
    <row r="230" spans="1:14" x14ac:dyDescent="0.35">
      <c r="A230">
        <v>229</v>
      </c>
      <c r="B230">
        <v>30</v>
      </c>
      <c r="C230" t="s">
        <v>2</v>
      </c>
      <c r="D230" t="s">
        <v>3</v>
      </c>
      <c r="E230" s="1">
        <v>300</v>
      </c>
      <c r="F230" t="s">
        <v>5</v>
      </c>
      <c r="G230" t="s">
        <v>4</v>
      </c>
      <c r="H230" t="s">
        <v>5</v>
      </c>
      <c r="I230" t="s">
        <v>7</v>
      </c>
      <c r="J230" t="s">
        <v>9</v>
      </c>
      <c r="K230" t="s">
        <v>9</v>
      </c>
      <c r="L230" t="s">
        <v>9</v>
      </c>
      <c r="M230" t="s">
        <v>9</v>
      </c>
      <c r="N230" t="s">
        <v>10</v>
      </c>
    </row>
    <row r="231" spans="1:14" x14ac:dyDescent="0.35">
      <c r="A231">
        <v>230</v>
      </c>
      <c r="B231">
        <v>27</v>
      </c>
      <c r="C231" t="s">
        <v>2</v>
      </c>
      <c r="D231" t="s">
        <v>12</v>
      </c>
      <c r="E231" s="1">
        <v>500</v>
      </c>
      <c r="F231" t="s">
        <v>5</v>
      </c>
      <c r="G231" t="s">
        <v>5</v>
      </c>
      <c r="H231" t="s">
        <v>6</v>
      </c>
      <c r="I231" t="s">
        <v>7</v>
      </c>
      <c r="J231" t="s">
        <v>8</v>
      </c>
      <c r="K231" t="s">
        <v>9</v>
      </c>
      <c r="L231" t="s">
        <v>9</v>
      </c>
      <c r="M231" t="s">
        <v>8</v>
      </c>
      <c r="N231" t="s">
        <v>10</v>
      </c>
    </row>
    <row r="232" spans="1:14" x14ac:dyDescent="0.35">
      <c r="A232">
        <v>231</v>
      </c>
      <c r="B232">
        <v>20</v>
      </c>
      <c r="C232" t="s">
        <v>2</v>
      </c>
      <c r="D232" t="s">
        <v>15</v>
      </c>
      <c r="E232" s="1">
        <v>300</v>
      </c>
      <c r="F232" t="s">
        <v>5</v>
      </c>
      <c r="G232" t="s">
        <v>5</v>
      </c>
      <c r="H232" t="s">
        <v>6</v>
      </c>
      <c r="I232" t="s">
        <v>14</v>
      </c>
      <c r="J232" t="s">
        <v>9</v>
      </c>
      <c r="K232" t="s">
        <v>9</v>
      </c>
      <c r="L232" t="s">
        <v>9</v>
      </c>
      <c r="M232" t="s">
        <v>9</v>
      </c>
      <c r="N232" t="s">
        <v>10</v>
      </c>
    </row>
    <row r="233" spans="1:14" x14ac:dyDescent="0.35">
      <c r="A233">
        <v>232</v>
      </c>
      <c r="B233">
        <v>27</v>
      </c>
      <c r="C233" t="s">
        <v>2</v>
      </c>
      <c r="D233" t="s">
        <v>15</v>
      </c>
      <c r="E233" s="1">
        <v>800</v>
      </c>
      <c r="F233" t="s">
        <v>6</v>
      </c>
      <c r="G233" t="s">
        <v>30</v>
      </c>
      <c r="H233" t="s">
        <v>30</v>
      </c>
      <c r="I233" t="s">
        <v>7</v>
      </c>
      <c r="J233" t="s">
        <v>9</v>
      </c>
      <c r="K233" t="s">
        <v>9</v>
      </c>
      <c r="L233" t="s">
        <v>9</v>
      </c>
      <c r="M233" t="s">
        <v>9</v>
      </c>
      <c r="N233" t="s">
        <v>10</v>
      </c>
    </row>
    <row r="234" spans="1:14" x14ac:dyDescent="0.35">
      <c r="A234">
        <v>233</v>
      </c>
      <c r="B234">
        <v>23</v>
      </c>
      <c r="C234" t="s">
        <v>2</v>
      </c>
      <c r="D234" t="s">
        <v>15</v>
      </c>
      <c r="E234" s="1">
        <v>1000</v>
      </c>
      <c r="F234" t="s">
        <v>5</v>
      </c>
      <c r="G234" t="s">
        <v>5</v>
      </c>
      <c r="H234" t="s">
        <v>5</v>
      </c>
      <c r="I234" t="s">
        <v>7</v>
      </c>
      <c r="J234" t="s">
        <v>8</v>
      </c>
      <c r="K234" t="s">
        <v>8</v>
      </c>
      <c r="L234" t="s">
        <v>8</v>
      </c>
      <c r="M234" t="s">
        <v>8</v>
      </c>
      <c r="N234" t="s">
        <v>10</v>
      </c>
    </row>
    <row r="235" spans="1:14" x14ac:dyDescent="0.35">
      <c r="A235">
        <v>234</v>
      </c>
      <c r="B235">
        <v>37</v>
      </c>
      <c r="C235" t="s">
        <v>2</v>
      </c>
      <c r="D235" t="s">
        <v>11</v>
      </c>
      <c r="E235" s="1">
        <v>300</v>
      </c>
      <c r="F235" t="s">
        <v>5</v>
      </c>
      <c r="G235" t="s">
        <v>5</v>
      </c>
      <c r="H235" t="s">
        <v>6</v>
      </c>
      <c r="I235" t="s">
        <v>7</v>
      </c>
      <c r="J235" t="s">
        <v>9</v>
      </c>
      <c r="K235" t="s">
        <v>9</v>
      </c>
      <c r="L235" t="s">
        <v>8</v>
      </c>
      <c r="M235" t="s">
        <v>8</v>
      </c>
      <c r="N235" t="s">
        <v>10</v>
      </c>
    </row>
    <row r="236" spans="1:14" x14ac:dyDescent="0.35">
      <c r="A236">
        <v>235</v>
      </c>
      <c r="B236">
        <v>32</v>
      </c>
      <c r="C236" t="s">
        <v>2</v>
      </c>
      <c r="D236" t="s">
        <v>12</v>
      </c>
      <c r="E236" s="1">
        <v>300</v>
      </c>
      <c r="F236" t="s">
        <v>5</v>
      </c>
      <c r="G236" t="s">
        <v>4</v>
      </c>
      <c r="H236" t="s">
        <v>6</v>
      </c>
      <c r="I236" t="s">
        <v>14</v>
      </c>
      <c r="J236" t="s">
        <v>9</v>
      </c>
      <c r="K236" t="s">
        <v>9</v>
      </c>
      <c r="L236" t="s">
        <v>9</v>
      </c>
      <c r="M236" t="s">
        <v>9</v>
      </c>
      <c r="N236" t="s">
        <v>10</v>
      </c>
    </row>
    <row r="237" spans="1:14" x14ac:dyDescent="0.35">
      <c r="A237">
        <v>236</v>
      </c>
      <c r="B237">
        <v>31</v>
      </c>
      <c r="C237" t="s">
        <v>2</v>
      </c>
      <c r="D237" t="s">
        <v>15</v>
      </c>
      <c r="E237" s="1">
        <v>200</v>
      </c>
      <c r="F237" t="s">
        <v>5</v>
      </c>
      <c r="G237" t="s">
        <v>5</v>
      </c>
      <c r="H237" t="s">
        <v>6</v>
      </c>
      <c r="I237" t="s">
        <v>7</v>
      </c>
      <c r="J237" t="s">
        <v>9</v>
      </c>
      <c r="K237" t="s">
        <v>8</v>
      </c>
      <c r="L237" t="s">
        <v>9</v>
      </c>
      <c r="M237" t="s">
        <v>8</v>
      </c>
      <c r="N237" t="s">
        <v>10</v>
      </c>
    </row>
    <row r="238" spans="1:14" x14ac:dyDescent="0.35">
      <c r="A238">
        <v>237</v>
      </c>
      <c r="B238">
        <v>31</v>
      </c>
      <c r="C238" t="s">
        <v>2</v>
      </c>
      <c r="D238" t="s">
        <v>15</v>
      </c>
      <c r="E238" s="1">
        <v>600</v>
      </c>
      <c r="F238" t="s">
        <v>5</v>
      </c>
      <c r="G238" t="s">
        <v>4</v>
      </c>
      <c r="H238" t="s">
        <v>6</v>
      </c>
      <c r="I238" t="s">
        <v>14</v>
      </c>
      <c r="J238" t="s">
        <v>9</v>
      </c>
      <c r="K238" t="s">
        <v>9</v>
      </c>
      <c r="L238" t="s">
        <v>9</v>
      </c>
      <c r="M238" t="s">
        <v>9</v>
      </c>
      <c r="N238" t="s">
        <v>10</v>
      </c>
    </row>
    <row r="239" spans="1:14" x14ac:dyDescent="0.35">
      <c r="A239">
        <v>238</v>
      </c>
      <c r="B239">
        <v>28</v>
      </c>
      <c r="C239" t="s">
        <v>2</v>
      </c>
      <c r="D239" t="s">
        <v>15</v>
      </c>
      <c r="E239" s="1">
        <v>200</v>
      </c>
      <c r="F239" t="s">
        <v>5</v>
      </c>
      <c r="G239" t="s">
        <v>5</v>
      </c>
      <c r="H239" t="s">
        <v>6</v>
      </c>
      <c r="I239" t="s">
        <v>14</v>
      </c>
      <c r="J239" t="s">
        <v>9</v>
      </c>
      <c r="K239" t="s">
        <v>9</v>
      </c>
      <c r="L239" t="s">
        <v>9</v>
      </c>
      <c r="M239" t="s">
        <v>8</v>
      </c>
      <c r="N239" t="s">
        <v>10</v>
      </c>
    </row>
    <row r="240" spans="1:14" x14ac:dyDescent="0.35">
      <c r="A240">
        <v>239</v>
      </c>
      <c r="B240">
        <v>28</v>
      </c>
      <c r="C240" t="s">
        <v>2</v>
      </c>
      <c r="D240" t="s">
        <v>12</v>
      </c>
      <c r="E240" s="1">
        <v>700</v>
      </c>
      <c r="F240" t="s">
        <v>5</v>
      </c>
      <c r="G240" t="s">
        <v>5</v>
      </c>
      <c r="H240" t="s">
        <v>6</v>
      </c>
      <c r="I240" t="s">
        <v>7</v>
      </c>
      <c r="J240" t="s">
        <v>8</v>
      </c>
      <c r="K240" t="s">
        <v>9</v>
      </c>
      <c r="L240" t="s">
        <v>8</v>
      </c>
      <c r="M240" t="s">
        <v>8</v>
      </c>
      <c r="N240" t="s">
        <v>10</v>
      </c>
    </row>
    <row r="241" spans="1:14" x14ac:dyDescent="0.35">
      <c r="A241">
        <v>240</v>
      </c>
      <c r="B241">
        <v>26</v>
      </c>
      <c r="C241" t="s">
        <v>2</v>
      </c>
      <c r="D241" t="s">
        <v>11</v>
      </c>
      <c r="E241" s="1">
        <v>400</v>
      </c>
      <c r="F241" t="s">
        <v>5</v>
      </c>
      <c r="G241" t="s">
        <v>4</v>
      </c>
      <c r="H241" t="s">
        <v>6</v>
      </c>
      <c r="I241" t="s">
        <v>14</v>
      </c>
      <c r="J241" t="s">
        <v>9</v>
      </c>
      <c r="K241" t="s">
        <v>9</v>
      </c>
      <c r="L241" t="s">
        <v>8</v>
      </c>
      <c r="M241" t="s">
        <v>9</v>
      </c>
      <c r="N241" t="s">
        <v>10</v>
      </c>
    </row>
    <row r="242" spans="1:14" x14ac:dyDescent="0.35">
      <c r="A242">
        <v>241</v>
      </c>
      <c r="B242">
        <v>40</v>
      </c>
      <c r="C242" t="s">
        <v>17</v>
      </c>
      <c r="D242" t="s">
        <v>15</v>
      </c>
      <c r="E242" s="1">
        <v>300</v>
      </c>
      <c r="F242" t="s">
        <v>5</v>
      </c>
      <c r="G242" t="s">
        <v>4</v>
      </c>
      <c r="H242" t="s">
        <v>6</v>
      </c>
      <c r="I242" t="s">
        <v>14</v>
      </c>
      <c r="J242" t="s">
        <v>8</v>
      </c>
      <c r="K242" t="s">
        <v>9</v>
      </c>
      <c r="L242" t="s">
        <v>9</v>
      </c>
      <c r="M242" t="s">
        <v>9</v>
      </c>
      <c r="N242" t="s">
        <v>10</v>
      </c>
    </row>
    <row r="243" spans="1:14" x14ac:dyDescent="0.35">
      <c r="A243">
        <v>242</v>
      </c>
      <c r="B243">
        <v>30</v>
      </c>
      <c r="C243" t="s">
        <v>2</v>
      </c>
      <c r="D243" t="s">
        <v>12</v>
      </c>
      <c r="E243" s="1">
        <v>500</v>
      </c>
      <c r="F243" t="s">
        <v>5</v>
      </c>
      <c r="G243" t="s">
        <v>5</v>
      </c>
      <c r="H243" t="s">
        <v>6</v>
      </c>
      <c r="I243" t="s">
        <v>7</v>
      </c>
      <c r="J243" t="s">
        <v>9</v>
      </c>
      <c r="K243" t="s">
        <v>9</v>
      </c>
      <c r="L243" t="s">
        <v>9</v>
      </c>
      <c r="M243" t="s">
        <v>9</v>
      </c>
      <c r="N243" t="s">
        <v>10</v>
      </c>
    </row>
    <row r="244" spans="1:14" x14ac:dyDescent="0.35">
      <c r="A244">
        <v>243</v>
      </c>
      <c r="B244">
        <v>28</v>
      </c>
      <c r="C244" t="s">
        <v>2</v>
      </c>
      <c r="D244" t="s">
        <v>15</v>
      </c>
      <c r="E244" s="1">
        <v>200</v>
      </c>
      <c r="F244" t="s">
        <v>5</v>
      </c>
      <c r="G244" t="s">
        <v>5</v>
      </c>
      <c r="H244" t="s">
        <v>6</v>
      </c>
      <c r="I244" t="s">
        <v>14</v>
      </c>
      <c r="J244" t="s">
        <v>9</v>
      </c>
      <c r="K244" t="s">
        <v>9</v>
      </c>
      <c r="L244" t="s">
        <v>9</v>
      </c>
      <c r="M244" t="s">
        <v>8</v>
      </c>
      <c r="N244" t="s">
        <v>10</v>
      </c>
    </row>
    <row r="245" spans="1:14" x14ac:dyDescent="0.35">
      <c r="A245">
        <v>244</v>
      </c>
      <c r="B245">
        <v>28</v>
      </c>
      <c r="C245" t="s">
        <v>2</v>
      </c>
      <c r="D245" t="s">
        <v>12</v>
      </c>
      <c r="E245" s="1">
        <v>200</v>
      </c>
      <c r="F245" t="s">
        <v>5</v>
      </c>
      <c r="G245" t="s">
        <v>5</v>
      </c>
      <c r="H245" t="s">
        <v>6</v>
      </c>
      <c r="I245" t="s">
        <v>7</v>
      </c>
      <c r="J245" t="s">
        <v>9</v>
      </c>
      <c r="K245" t="s">
        <v>9</v>
      </c>
      <c r="L245" t="s">
        <v>9</v>
      </c>
      <c r="M245" t="s">
        <v>9</v>
      </c>
      <c r="N245" t="s">
        <v>10</v>
      </c>
    </row>
    <row r="246" spans="1:14" x14ac:dyDescent="0.35">
      <c r="A246">
        <v>245</v>
      </c>
      <c r="B246">
        <v>19</v>
      </c>
      <c r="C246" t="s">
        <v>2</v>
      </c>
      <c r="D246" t="s">
        <v>15</v>
      </c>
      <c r="E246" s="1">
        <v>150</v>
      </c>
      <c r="F246" t="s">
        <v>6</v>
      </c>
      <c r="G246" t="s">
        <v>30</v>
      </c>
      <c r="H246" t="s">
        <v>30</v>
      </c>
      <c r="I246" t="s">
        <v>14</v>
      </c>
      <c r="J246" t="s">
        <v>9</v>
      </c>
      <c r="K246" t="s">
        <v>9</v>
      </c>
      <c r="L246" t="s">
        <v>9</v>
      </c>
      <c r="M246" t="s">
        <v>9</v>
      </c>
      <c r="N246" t="s">
        <v>10</v>
      </c>
    </row>
    <row r="247" spans="1:14" x14ac:dyDescent="0.35">
      <c r="A247">
        <v>246</v>
      </c>
      <c r="B247">
        <v>28</v>
      </c>
      <c r="C247" t="s">
        <v>2</v>
      </c>
      <c r="D247" t="s">
        <v>3</v>
      </c>
      <c r="E247" s="1">
        <v>150</v>
      </c>
      <c r="F247" t="s">
        <v>6</v>
      </c>
      <c r="G247" t="s">
        <v>30</v>
      </c>
      <c r="H247" t="s">
        <v>30</v>
      </c>
      <c r="I247" t="s">
        <v>14</v>
      </c>
      <c r="J247" t="s">
        <v>9</v>
      </c>
      <c r="K247" t="s">
        <v>9</v>
      </c>
      <c r="L247" t="s">
        <v>9</v>
      </c>
      <c r="M247" t="s">
        <v>9</v>
      </c>
      <c r="N247" t="s">
        <v>10</v>
      </c>
    </row>
    <row r="248" spans="1:14" x14ac:dyDescent="0.35">
      <c r="A248">
        <v>247</v>
      </c>
      <c r="B248">
        <v>19</v>
      </c>
      <c r="C248" t="s">
        <v>2</v>
      </c>
      <c r="D248" t="s">
        <v>15</v>
      </c>
      <c r="E248" s="1">
        <v>400</v>
      </c>
      <c r="F248" t="s">
        <v>5</v>
      </c>
      <c r="G248" t="s">
        <v>5</v>
      </c>
      <c r="H248" t="s">
        <v>6</v>
      </c>
      <c r="I248" t="s">
        <v>14</v>
      </c>
      <c r="J248" t="s">
        <v>9</v>
      </c>
      <c r="K248" t="s">
        <v>9</v>
      </c>
      <c r="L248" t="s">
        <v>9</v>
      </c>
      <c r="M248" t="s">
        <v>9</v>
      </c>
      <c r="N248" t="s">
        <v>10</v>
      </c>
    </row>
    <row r="249" spans="1:14" x14ac:dyDescent="0.35">
      <c r="A249">
        <v>248</v>
      </c>
      <c r="B249">
        <v>22</v>
      </c>
      <c r="C249" t="s">
        <v>2</v>
      </c>
      <c r="D249" t="s">
        <v>15</v>
      </c>
      <c r="E249" s="1">
        <v>600</v>
      </c>
      <c r="F249" t="s">
        <v>5</v>
      </c>
      <c r="G249" t="s">
        <v>5</v>
      </c>
      <c r="H249" t="s">
        <v>6</v>
      </c>
      <c r="I249" t="s">
        <v>7</v>
      </c>
      <c r="J249" t="s">
        <v>9</v>
      </c>
      <c r="K249" t="s">
        <v>9</v>
      </c>
      <c r="L249" t="s">
        <v>9</v>
      </c>
      <c r="M249" t="s">
        <v>9</v>
      </c>
      <c r="N249" t="s">
        <v>10</v>
      </c>
    </row>
    <row r="250" spans="1:14" x14ac:dyDescent="0.35">
      <c r="A250">
        <v>249</v>
      </c>
      <c r="B250">
        <v>26</v>
      </c>
      <c r="C250" t="s">
        <v>2</v>
      </c>
      <c r="D250" t="s">
        <v>11</v>
      </c>
      <c r="E250" s="1">
        <v>350</v>
      </c>
      <c r="F250" t="s">
        <v>5</v>
      </c>
      <c r="G250" t="s">
        <v>5</v>
      </c>
      <c r="H250" t="s">
        <v>6</v>
      </c>
      <c r="I250" t="s">
        <v>14</v>
      </c>
      <c r="J250" t="s">
        <v>9</v>
      </c>
      <c r="K250" t="s">
        <v>9</v>
      </c>
      <c r="L250" t="s">
        <v>9</v>
      </c>
      <c r="M250" t="s">
        <v>9</v>
      </c>
      <c r="N250" t="s">
        <v>10</v>
      </c>
    </row>
    <row r="251" spans="1:14" x14ac:dyDescent="0.35">
      <c r="A251">
        <v>250</v>
      </c>
      <c r="B251">
        <v>31</v>
      </c>
      <c r="C251" t="s">
        <v>2</v>
      </c>
      <c r="D251" t="s">
        <v>11</v>
      </c>
      <c r="E251" s="1">
        <v>800</v>
      </c>
      <c r="F251" t="s">
        <v>5</v>
      </c>
      <c r="G251" t="s">
        <v>5</v>
      </c>
      <c r="H251" t="s">
        <v>5</v>
      </c>
      <c r="I251" t="s">
        <v>7</v>
      </c>
      <c r="J251" t="s">
        <v>8</v>
      </c>
      <c r="K251" t="s">
        <v>9</v>
      </c>
      <c r="L251" t="s">
        <v>8</v>
      </c>
      <c r="M251" t="s">
        <v>8</v>
      </c>
      <c r="N251" t="s">
        <v>10</v>
      </c>
    </row>
    <row r="252" spans="1:14" x14ac:dyDescent="0.35">
      <c r="A252">
        <v>251</v>
      </c>
      <c r="B252">
        <v>18</v>
      </c>
      <c r="C252" t="s">
        <v>2</v>
      </c>
      <c r="D252" t="s">
        <v>12</v>
      </c>
      <c r="E252" s="1">
        <v>200</v>
      </c>
      <c r="F252" t="s">
        <v>5</v>
      </c>
      <c r="G252" t="s">
        <v>5</v>
      </c>
      <c r="H252" t="s">
        <v>6</v>
      </c>
      <c r="I252" t="s">
        <v>14</v>
      </c>
      <c r="J252" t="s">
        <v>9</v>
      </c>
      <c r="K252" t="s">
        <v>9</v>
      </c>
      <c r="L252" t="s">
        <v>9</v>
      </c>
      <c r="M252" t="s">
        <v>9</v>
      </c>
      <c r="N252" t="s">
        <v>10</v>
      </c>
    </row>
    <row r="253" spans="1:14" x14ac:dyDescent="0.35">
      <c r="A253">
        <v>252</v>
      </c>
      <c r="B253">
        <v>38</v>
      </c>
      <c r="C253" t="s">
        <v>2</v>
      </c>
      <c r="D253" t="s">
        <v>11</v>
      </c>
      <c r="E253" s="1">
        <v>600</v>
      </c>
      <c r="F253" t="s">
        <v>5</v>
      </c>
      <c r="G253" t="s">
        <v>5</v>
      </c>
      <c r="H253" t="s">
        <v>5</v>
      </c>
      <c r="I253" t="s">
        <v>7</v>
      </c>
      <c r="J253" t="s">
        <v>8</v>
      </c>
      <c r="K253" t="s">
        <v>8</v>
      </c>
      <c r="L253" t="s">
        <v>9</v>
      </c>
      <c r="M253" t="s">
        <v>8</v>
      </c>
      <c r="N253" t="s">
        <v>10</v>
      </c>
    </row>
    <row r="254" spans="1:14" x14ac:dyDescent="0.35">
      <c r="A254">
        <v>253</v>
      </c>
      <c r="B254">
        <v>37</v>
      </c>
      <c r="C254" t="s">
        <v>2</v>
      </c>
      <c r="D254" t="s">
        <v>11</v>
      </c>
      <c r="E254" s="1">
        <v>500</v>
      </c>
      <c r="F254" t="s">
        <v>5</v>
      </c>
      <c r="G254" t="s">
        <v>5</v>
      </c>
      <c r="H254" t="s">
        <v>6</v>
      </c>
      <c r="I254" t="s">
        <v>14</v>
      </c>
      <c r="J254" t="s">
        <v>8</v>
      </c>
      <c r="K254" t="s">
        <v>8</v>
      </c>
      <c r="L254" t="s">
        <v>9</v>
      </c>
      <c r="M254" t="s">
        <v>8</v>
      </c>
      <c r="N254" t="s">
        <v>10</v>
      </c>
    </row>
    <row r="255" spans="1:14" x14ac:dyDescent="0.35">
      <c r="A255">
        <v>254</v>
      </c>
      <c r="B255">
        <v>28</v>
      </c>
      <c r="C255" t="s">
        <v>2</v>
      </c>
      <c r="D255" t="s">
        <v>12</v>
      </c>
      <c r="E255" s="1">
        <v>400</v>
      </c>
      <c r="F255" t="s">
        <v>6</v>
      </c>
      <c r="G255" t="s">
        <v>30</v>
      </c>
      <c r="H255" t="s">
        <v>30</v>
      </c>
      <c r="I255" t="s">
        <v>7</v>
      </c>
      <c r="J255" t="s">
        <v>8</v>
      </c>
      <c r="K255" t="s">
        <v>8</v>
      </c>
      <c r="L255" t="s">
        <v>8</v>
      </c>
      <c r="M255" t="s">
        <v>8</v>
      </c>
      <c r="N255" t="s">
        <v>10</v>
      </c>
    </row>
    <row r="256" spans="1:14" x14ac:dyDescent="0.35">
      <c r="A256">
        <v>255</v>
      </c>
      <c r="B256">
        <v>30</v>
      </c>
      <c r="C256" t="s">
        <v>2</v>
      </c>
      <c r="D256" t="s">
        <v>3</v>
      </c>
      <c r="E256" s="1">
        <v>180</v>
      </c>
      <c r="F256" t="s">
        <v>5</v>
      </c>
      <c r="G256" t="s">
        <v>5</v>
      </c>
      <c r="H256" t="s">
        <v>6</v>
      </c>
      <c r="I256" t="s">
        <v>7</v>
      </c>
      <c r="J256" t="s">
        <v>9</v>
      </c>
      <c r="K256" t="s">
        <v>9</v>
      </c>
      <c r="L256" t="s">
        <v>9</v>
      </c>
      <c r="M256" t="s">
        <v>9</v>
      </c>
      <c r="N256" t="s">
        <v>10</v>
      </c>
    </row>
    <row r="257" spans="1:14" x14ac:dyDescent="0.35">
      <c r="A257">
        <v>256</v>
      </c>
      <c r="B257">
        <v>31</v>
      </c>
      <c r="C257" t="s">
        <v>2</v>
      </c>
      <c r="D257" t="s">
        <v>12</v>
      </c>
      <c r="E257" s="1">
        <v>1000</v>
      </c>
      <c r="F257" t="s">
        <v>5</v>
      </c>
      <c r="G257" t="s">
        <v>5</v>
      </c>
      <c r="H257" t="s">
        <v>6</v>
      </c>
      <c r="I257" t="s">
        <v>7</v>
      </c>
      <c r="J257" t="s">
        <v>8</v>
      </c>
      <c r="K257" t="s">
        <v>8</v>
      </c>
      <c r="L257" t="s">
        <v>8</v>
      </c>
      <c r="M257" t="s">
        <v>8</v>
      </c>
      <c r="N257" t="s">
        <v>10</v>
      </c>
    </row>
    <row r="258" spans="1:14" x14ac:dyDescent="0.35">
      <c r="A258">
        <v>257</v>
      </c>
      <c r="B258">
        <v>32</v>
      </c>
      <c r="C258" t="s">
        <v>2</v>
      </c>
      <c r="D258" t="s">
        <v>11</v>
      </c>
      <c r="E258" s="1">
        <v>1200</v>
      </c>
      <c r="F258" t="s">
        <v>5</v>
      </c>
      <c r="G258" t="s">
        <v>5</v>
      </c>
      <c r="H258" t="s">
        <v>5</v>
      </c>
      <c r="I258" t="s">
        <v>7</v>
      </c>
      <c r="J258" t="s">
        <v>8</v>
      </c>
      <c r="K258" t="s">
        <v>9</v>
      </c>
      <c r="L258" t="s">
        <v>9</v>
      </c>
      <c r="M258" t="s">
        <v>8</v>
      </c>
      <c r="N258" t="s">
        <v>10</v>
      </c>
    </row>
    <row r="259" spans="1:14" x14ac:dyDescent="0.35">
      <c r="A259">
        <v>258</v>
      </c>
      <c r="B259">
        <v>27</v>
      </c>
      <c r="C259" t="s">
        <v>2</v>
      </c>
      <c r="D259" t="s">
        <v>15</v>
      </c>
      <c r="E259" s="1">
        <v>450</v>
      </c>
      <c r="F259" t="s">
        <v>5</v>
      </c>
      <c r="G259" t="s">
        <v>5</v>
      </c>
      <c r="H259" t="s">
        <v>5</v>
      </c>
      <c r="I259" t="s">
        <v>7</v>
      </c>
      <c r="J259" t="s">
        <v>8</v>
      </c>
      <c r="K259" t="s">
        <v>8</v>
      </c>
      <c r="L259" t="s">
        <v>8</v>
      </c>
      <c r="M259" t="s">
        <v>8</v>
      </c>
      <c r="N259" t="s">
        <v>10</v>
      </c>
    </row>
    <row r="260" spans="1:14" x14ac:dyDescent="0.35">
      <c r="A260">
        <v>259</v>
      </c>
      <c r="B260">
        <v>26</v>
      </c>
      <c r="C260" t="s">
        <v>2</v>
      </c>
      <c r="D260" t="s">
        <v>12</v>
      </c>
      <c r="E260" s="1">
        <v>1500</v>
      </c>
      <c r="F260" t="s">
        <v>5</v>
      </c>
      <c r="G260" t="s">
        <v>5</v>
      </c>
      <c r="H260" t="s">
        <v>6</v>
      </c>
      <c r="I260" t="s">
        <v>7</v>
      </c>
      <c r="J260" t="s">
        <v>8</v>
      </c>
      <c r="K260" t="s">
        <v>8</v>
      </c>
      <c r="L260" t="s">
        <v>8</v>
      </c>
      <c r="M260" t="s">
        <v>8</v>
      </c>
      <c r="N260" t="s">
        <v>10</v>
      </c>
    </row>
    <row r="261" spans="1:14" x14ac:dyDescent="0.35">
      <c r="A261">
        <v>260</v>
      </c>
      <c r="B261">
        <v>20</v>
      </c>
      <c r="C261" t="s">
        <v>2</v>
      </c>
      <c r="D261" t="s">
        <v>15</v>
      </c>
      <c r="E261" s="1">
        <v>300</v>
      </c>
      <c r="F261" t="s">
        <v>5</v>
      </c>
      <c r="G261" t="s">
        <v>5</v>
      </c>
      <c r="H261" t="s">
        <v>6</v>
      </c>
      <c r="I261" t="s">
        <v>7</v>
      </c>
      <c r="J261" t="s">
        <v>9</v>
      </c>
      <c r="K261" t="s">
        <v>9</v>
      </c>
      <c r="L261" t="s">
        <v>9</v>
      </c>
      <c r="M261" t="s">
        <v>9</v>
      </c>
      <c r="N261" t="s">
        <v>10</v>
      </c>
    </row>
    <row r="262" spans="1:14" x14ac:dyDescent="0.35">
      <c r="A262">
        <v>261</v>
      </c>
      <c r="B262">
        <v>29</v>
      </c>
      <c r="C262" t="s">
        <v>2</v>
      </c>
      <c r="D262" t="s">
        <v>15</v>
      </c>
      <c r="E262" s="1">
        <v>1500</v>
      </c>
      <c r="F262" t="s">
        <v>5</v>
      </c>
      <c r="G262" t="s">
        <v>5</v>
      </c>
      <c r="H262" t="s">
        <v>5</v>
      </c>
      <c r="I262" t="s">
        <v>7</v>
      </c>
      <c r="J262" t="s">
        <v>8</v>
      </c>
      <c r="K262" t="s">
        <v>8</v>
      </c>
      <c r="L262" t="s">
        <v>8</v>
      </c>
      <c r="M262" t="s">
        <v>8</v>
      </c>
      <c r="N262" t="s">
        <v>10</v>
      </c>
    </row>
    <row r="263" spans="1:14" x14ac:dyDescent="0.35">
      <c r="A263">
        <v>262</v>
      </c>
      <c r="B263">
        <v>29</v>
      </c>
      <c r="C263" t="s">
        <v>2</v>
      </c>
      <c r="D263" t="s">
        <v>3</v>
      </c>
      <c r="E263" s="1">
        <v>300</v>
      </c>
      <c r="F263" t="s">
        <v>6</v>
      </c>
      <c r="G263" t="s">
        <v>30</v>
      </c>
      <c r="H263" t="s">
        <v>30</v>
      </c>
      <c r="I263" t="s">
        <v>14</v>
      </c>
      <c r="J263" t="s">
        <v>8</v>
      </c>
      <c r="K263" t="s">
        <v>9</v>
      </c>
      <c r="L263" t="s">
        <v>9</v>
      </c>
      <c r="M263" t="s">
        <v>9</v>
      </c>
      <c r="N263" t="s">
        <v>10</v>
      </c>
    </row>
    <row r="264" spans="1:14" x14ac:dyDescent="0.35">
      <c r="A264">
        <v>263</v>
      </c>
      <c r="B264">
        <v>35</v>
      </c>
      <c r="C264" t="s">
        <v>16</v>
      </c>
      <c r="D264" t="s">
        <v>12</v>
      </c>
      <c r="E264" s="1">
        <v>300</v>
      </c>
      <c r="F264" t="s">
        <v>6</v>
      </c>
      <c r="G264" t="s">
        <v>30</v>
      </c>
      <c r="H264" t="s">
        <v>30</v>
      </c>
      <c r="I264" t="s">
        <v>7</v>
      </c>
      <c r="J264" t="s">
        <v>9</v>
      </c>
      <c r="K264" t="s">
        <v>9</v>
      </c>
      <c r="L264" t="s">
        <v>8</v>
      </c>
      <c r="M264" t="s">
        <v>9</v>
      </c>
      <c r="N264" t="s">
        <v>10</v>
      </c>
    </row>
    <row r="265" spans="1:14" x14ac:dyDescent="0.35">
      <c r="A265">
        <v>264</v>
      </c>
      <c r="B265">
        <v>20</v>
      </c>
      <c r="C265" t="s">
        <v>2</v>
      </c>
      <c r="D265" t="s">
        <v>12</v>
      </c>
      <c r="E265" s="1">
        <v>250</v>
      </c>
      <c r="F265" t="s">
        <v>5</v>
      </c>
      <c r="G265" t="s">
        <v>5</v>
      </c>
      <c r="H265" t="s">
        <v>6</v>
      </c>
      <c r="I265" t="s">
        <v>14</v>
      </c>
      <c r="J265" t="s">
        <v>9</v>
      </c>
      <c r="K265" t="s">
        <v>9</v>
      </c>
      <c r="L265" t="s">
        <v>9</v>
      </c>
      <c r="M265" t="s">
        <v>9</v>
      </c>
      <c r="N265" t="s">
        <v>10</v>
      </c>
    </row>
    <row r="266" spans="1:14" x14ac:dyDescent="0.35">
      <c r="A266">
        <v>265</v>
      </c>
      <c r="B266">
        <v>25</v>
      </c>
      <c r="C266" t="s">
        <v>2</v>
      </c>
      <c r="D266" t="s">
        <v>11</v>
      </c>
      <c r="E266" s="1">
        <v>800</v>
      </c>
      <c r="F266" t="s">
        <v>5</v>
      </c>
      <c r="G266" t="s">
        <v>5</v>
      </c>
      <c r="H266" t="s">
        <v>5</v>
      </c>
      <c r="I266" t="s">
        <v>7</v>
      </c>
      <c r="J266" t="s">
        <v>9</v>
      </c>
      <c r="K266" t="s">
        <v>9</v>
      </c>
      <c r="L266" t="s">
        <v>9</v>
      </c>
      <c r="M266" t="s">
        <v>9</v>
      </c>
      <c r="N266" t="s">
        <v>10</v>
      </c>
    </row>
    <row r="267" spans="1:14" x14ac:dyDescent="0.35">
      <c r="A267">
        <v>266</v>
      </c>
      <c r="B267">
        <v>30</v>
      </c>
      <c r="C267" t="s">
        <v>2</v>
      </c>
      <c r="D267" t="s">
        <v>11</v>
      </c>
      <c r="E267" s="1">
        <v>600</v>
      </c>
      <c r="F267" t="s">
        <v>5</v>
      </c>
      <c r="G267" t="s">
        <v>4</v>
      </c>
      <c r="H267" t="s">
        <v>5</v>
      </c>
      <c r="I267" t="s">
        <v>14</v>
      </c>
      <c r="J267" t="s">
        <v>9</v>
      </c>
      <c r="K267" t="s">
        <v>9</v>
      </c>
      <c r="L267" t="s">
        <v>9</v>
      </c>
      <c r="M267" t="s">
        <v>8</v>
      </c>
      <c r="N267" t="s">
        <v>10</v>
      </c>
    </row>
    <row r="268" spans="1:14" x14ac:dyDescent="0.35">
      <c r="A268">
        <v>267</v>
      </c>
      <c r="B268">
        <v>24</v>
      </c>
      <c r="C268" t="s">
        <v>2</v>
      </c>
      <c r="D268" t="s">
        <v>3</v>
      </c>
      <c r="E268" s="1">
        <v>200</v>
      </c>
      <c r="F268" t="s">
        <v>5</v>
      </c>
      <c r="G268" t="s">
        <v>4</v>
      </c>
      <c r="H268" t="s">
        <v>6</v>
      </c>
      <c r="I268" t="s">
        <v>14</v>
      </c>
      <c r="J268" t="s">
        <v>9</v>
      </c>
      <c r="K268" t="s">
        <v>9</v>
      </c>
      <c r="L268" t="s">
        <v>9</v>
      </c>
      <c r="M268" t="s">
        <v>9</v>
      </c>
      <c r="N268" t="s">
        <v>10</v>
      </c>
    </row>
    <row r="269" spans="1:14" x14ac:dyDescent="0.35">
      <c r="A269">
        <v>268</v>
      </c>
      <c r="B269">
        <v>32</v>
      </c>
      <c r="C269" t="s">
        <v>2</v>
      </c>
      <c r="D269" t="s">
        <v>11</v>
      </c>
      <c r="E269" s="1">
        <v>600</v>
      </c>
      <c r="F269" t="s">
        <v>5</v>
      </c>
      <c r="G269" t="s">
        <v>5</v>
      </c>
      <c r="H269" t="s">
        <v>5</v>
      </c>
      <c r="I269" t="s">
        <v>7</v>
      </c>
      <c r="J269" t="s">
        <v>8</v>
      </c>
      <c r="K269" t="s">
        <v>9</v>
      </c>
      <c r="L269" t="s">
        <v>8</v>
      </c>
      <c r="M269" t="s">
        <v>8</v>
      </c>
      <c r="N269" t="s">
        <v>10</v>
      </c>
    </row>
    <row r="270" spans="1:14" x14ac:dyDescent="0.35">
      <c r="A270">
        <v>269</v>
      </c>
      <c r="B270">
        <v>20</v>
      </c>
      <c r="C270" t="s">
        <v>2</v>
      </c>
      <c r="D270" t="s">
        <v>15</v>
      </c>
      <c r="E270" s="1">
        <v>300</v>
      </c>
      <c r="F270" t="s">
        <v>5</v>
      </c>
      <c r="G270" t="s">
        <v>5</v>
      </c>
      <c r="H270" t="s">
        <v>6</v>
      </c>
      <c r="I270" t="s">
        <v>7</v>
      </c>
      <c r="J270" t="s">
        <v>9</v>
      </c>
      <c r="K270" t="s">
        <v>9</v>
      </c>
      <c r="L270" t="s">
        <v>9</v>
      </c>
      <c r="M270" t="s">
        <v>9</v>
      </c>
      <c r="N270" t="s">
        <v>10</v>
      </c>
    </row>
    <row r="271" spans="1:14" x14ac:dyDescent="0.35">
      <c r="A271">
        <v>270</v>
      </c>
      <c r="B271">
        <v>38</v>
      </c>
      <c r="C271" t="s">
        <v>2</v>
      </c>
      <c r="D271" t="s">
        <v>12</v>
      </c>
      <c r="E271" s="1">
        <v>300</v>
      </c>
      <c r="F271" t="s">
        <v>5</v>
      </c>
      <c r="G271" t="s">
        <v>5</v>
      </c>
      <c r="H271" t="s">
        <v>6</v>
      </c>
      <c r="I271" t="s">
        <v>14</v>
      </c>
      <c r="J271" t="s">
        <v>8</v>
      </c>
      <c r="K271" t="s">
        <v>8</v>
      </c>
      <c r="L271" t="s">
        <v>8</v>
      </c>
      <c r="M271" t="s">
        <v>9</v>
      </c>
      <c r="N271" t="s">
        <v>10</v>
      </c>
    </row>
    <row r="272" spans="1:14" x14ac:dyDescent="0.35">
      <c r="A272">
        <v>271</v>
      </c>
      <c r="B272">
        <v>29</v>
      </c>
      <c r="C272" t="s">
        <v>2</v>
      </c>
      <c r="D272" t="s">
        <v>15</v>
      </c>
      <c r="E272" s="1">
        <v>200</v>
      </c>
      <c r="F272" t="s">
        <v>5</v>
      </c>
      <c r="G272" t="s">
        <v>5</v>
      </c>
      <c r="H272" t="s">
        <v>6</v>
      </c>
      <c r="I272" t="s">
        <v>7</v>
      </c>
      <c r="J272" t="s">
        <v>9</v>
      </c>
      <c r="K272" t="s">
        <v>9</v>
      </c>
      <c r="L272" t="s">
        <v>9</v>
      </c>
      <c r="M272" t="s">
        <v>9</v>
      </c>
      <c r="N272" t="s">
        <v>10</v>
      </c>
    </row>
    <row r="273" spans="1:14" x14ac:dyDescent="0.35">
      <c r="A273">
        <v>272</v>
      </c>
      <c r="B273">
        <v>36</v>
      </c>
      <c r="C273" t="s">
        <v>2</v>
      </c>
      <c r="D273" t="s">
        <v>3</v>
      </c>
      <c r="E273" s="1">
        <v>200</v>
      </c>
      <c r="F273" t="s">
        <v>6</v>
      </c>
      <c r="G273" t="s">
        <v>30</v>
      </c>
      <c r="H273" t="s">
        <v>30</v>
      </c>
      <c r="I273" t="s">
        <v>7</v>
      </c>
      <c r="J273" t="s">
        <v>9</v>
      </c>
      <c r="K273" t="s">
        <v>9</v>
      </c>
      <c r="L273" t="s">
        <v>9</v>
      </c>
      <c r="M273" t="s">
        <v>9</v>
      </c>
      <c r="N273" t="s">
        <v>10</v>
      </c>
    </row>
    <row r="274" spans="1:14" x14ac:dyDescent="0.35">
      <c r="A274">
        <v>273</v>
      </c>
      <c r="B274">
        <v>20</v>
      </c>
      <c r="C274" t="s">
        <v>2</v>
      </c>
      <c r="D274" t="s">
        <v>12</v>
      </c>
      <c r="E274" s="1">
        <v>300</v>
      </c>
      <c r="F274" t="s">
        <v>5</v>
      </c>
      <c r="G274" t="s">
        <v>5</v>
      </c>
      <c r="H274" t="s">
        <v>6</v>
      </c>
      <c r="I274" t="s">
        <v>14</v>
      </c>
      <c r="J274" t="s">
        <v>9</v>
      </c>
      <c r="K274" t="s">
        <v>9</v>
      </c>
      <c r="L274" t="s">
        <v>9</v>
      </c>
      <c r="M274" t="s">
        <v>9</v>
      </c>
      <c r="N274" t="s">
        <v>10</v>
      </c>
    </row>
    <row r="275" spans="1:14" x14ac:dyDescent="0.35">
      <c r="A275">
        <v>274</v>
      </c>
      <c r="B275">
        <v>30</v>
      </c>
      <c r="C275" t="s">
        <v>2</v>
      </c>
      <c r="D275" t="s">
        <v>3</v>
      </c>
      <c r="E275" s="1">
        <v>300</v>
      </c>
      <c r="F275" t="s">
        <v>5</v>
      </c>
      <c r="G275" t="s">
        <v>4</v>
      </c>
      <c r="H275" t="s">
        <v>6</v>
      </c>
      <c r="I275" t="s">
        <v>7</v>
      </c>
      <c r="J275" t="s">
        <v>9</v>
      </c>
      <c r="K275" t="s">
        <v>9</v>
      </c>
      <c r="L275" t="s">
        <v>9</v>
      </c>
      <c r="M275" t="s">
        <v>9</v>
      </c>
      <c r="N275" t="s">
        <v>10</v>
      </c>
    </row>
    <row r="276" spans="1:14" x14ac:dyDescent="0.35">
      <c r="A276">
        <v>275</v>
      </c>
      <c r="B276">
        <v>20</v>
      </c>
      <c r="C276" t="s">
        <v>2</v>
      </c>
      <c r="D276" t="s">
        <v>12</v>
      </c>
      <c r="E276" s="1">
        <v>200</v>
      </c>
      <c r="F276" t="s">
        <v>5</v>
      </c>
      <c r="G276" t="s">
        <v>4</v>
      </c>
      <c r="H276" t="s">
        <v>6</v>
      </c>
      <c r="I276" t="s">
        <v>14</v>
      </c>
      <c r="J276" t="s">
        <v>9</v>
      </c>
      <c r="K276" t="s">
        <v>9</v>
      </c>
      <c r="L276" t="s">
        <v>9</v>
      </c>
      <c r="M276" t="s">
        <v>9</v>
      </c>
      <c r="N276" t="s">
        <v>10</v>
      </c>
    </row>
    <row r="277" spans="1:14" x14ac:dyDescent="0.35">
      <c r="A277">
        <v>276</v>
      </c>
      <c r="B277">
        <v>33</v>
      </c>
      <c r="C277" t="s">
        <v>2</v>
      </c>
      <c r="D277" t="s">
        <v>15</v>
      </c>
      <c r="E277" s="1">
        <v>350</v>
      </c>
      <c r="F277" t="s">
        <v>6</v>
      </c>
      <c r="G277" t="s">
        <v>30</v>
      </c>
      <c r="H277" t="s">
        <v>30</v>
      </c>
      <c r="I277" t="s">
        <v>14</v>
      </c>
      <c r="J277" t="s">
        <v>8</v>
      </c>
      <c r="K277" t="s">
        <v>8</v>
      </c>
      <c r="L277" t="s">
        <v>8</v>
      </c>
      <c r="M277" t="s">
        <v>9</v>
      </c>
      <c r="N277" t="s">
        <v>10</v>
      </c>
    </row>
    <row r="278" spans="1:14" x14ac:dyDescent="0.35">
      <c r="A278">
        <v>277</v>
      </c>
      <c r="B278">
        <v>28</v>
      </c>
      <c r="C278" t="s">
        <v>2</v>
      </c>
      <c r="D278" t="s">
        <v>11</v>
      </c>
      <c r="E278" s="1">
        <v>1500</v>
      </c>
      <c r="F278" t="s">
        <v>5</v>
      </c>
      <c r="G278" t="s">
        <v>5</v>
      </c>
      <c r="H278" t="s">
        <v>5</v>
      </c>
      <c r="I278" t="s">
        <v>7</v>
      </c>
      <c r="J278" t="s">
        <v>8</v>
      </c>
      <c r="K278" t="s">
        <v>8</v>
      </c>
      <c r="L278" t="s">
        <v>8</v>
      </c>
      <c r="M278" t="s">
        <v>8</v>
      </c>
      <c r="N278" t="s">
        <v>10</v>
      </c>
    </row>
    <row r="279" spans="1:14" x14ac:dyDescent="0.35">
      <c r="A279">
        <v>278</v>
      </c>
      <c r="B279">
        <v>19</v>
      </c>
      <c r="C279" t="s">
        <v>2</v>
      </c>
      <c r="D279" t="s">
        <v>12</v>
      </c>
      <c r="E279" s="1">
        <v>1000</v>
      </c>
      <c r="F279" t="s">
        <v>5</v>
      </c>
      <c r="G279" t="s">
        <v>5</v>
      </c>
      <c r="H279" t="s">
        <v>5</v>
      </c>
      <c r="I279" t="s">
        <v>7</v>
      </c>
      <c r="J279" t="s">
        <v>8</v>
      </c>
      <c r="K279" t="s">
        <v>8</v>
      </c>
      <c r="L279" t="s">
        <v>8</v>
      </c>
      <c r="M279" t="s">
        <v>8</v>
      </c>
      <c r="N279" t="s">
        <v>10</v>
      </c>
    </row>
    <row r="280" spans="1:14" x14ac:dyDescent="0.35">
      <c r="A280">
        <v>279</v>
      </c>
      <c r="B280">
        <v>25</v>
      </c>
      <c r="C280" t="s">
        <v>2</v>
      </c>
      <c r="D280" t="s">
        <v>12</v>
      </c>
      <c r="E280" s="1">
        <v>300</v>
      </c>
      <c r="F280" t="s">
        <v>5</v>
      </c>
      <c r="G280" t="s">
        <v>5</v>
      </c>
      <c r="H280" t="s">
        <v>5</v>
      </c>
      <c r="I280" t="s">
        <v>7</v>
      </c>
      <c r="J280" t="s">
        <v>9</v>
      </c>
      <c r="K280" t="s">
        <v>8</v>
      </c>
      <c r="L280" t="s">
        <v>8</v>
      </c>
      <c r="M280" t="s">
        <v>9</v>
      </c>
      <c r="N280" t="s">
        <v>10</v>
      </c>
    </row>
    <row r="281" spans="1:14" x14ac:dyDescent="0.35">
      <c r="A281">
        <v>280</v>
      </c>
      <c r="B281">
        <v>27</v>
      </c>
      <c r="C281" t="s">
        <v>2</v>
      </c>
      <c r="D281" t="s">
        <v>15</v>
      </c>
      <c r="E281" s="1">
        <v>800</v>
      </c>
      <c r="F281" t="s">
        <v>5</v>
      </c>
      <c r="G281" t="s">
        <v>5</v>
      </c>
      <c r="H281" t="s">
        <v>5</v>
      </c>
      <c r="I281" t="s">
        <v>7</v>
      </c>
      <c r="J281" t="s">
        <v>8</v>
      </c>
      <c r="K281" t="s">
        <v>8</v>
      </c>
      <c r="L281" t="s">
        <v>8</v>
      </c>
      <c r="M281" t="s">
        <v>8</v>
      </c>
      <c r="N281" t="s">
        <v>10</v>
      </c>
    </row>
    <row r="282" spans="1:14" x14ac:dyDescent="0.35">
      <c r="A282">
        <v>281</v>
      </c>
      <c r="B282">
        <v>28</v>
      </c>
      <c r="C282" t="s">
        <v>2</v>
      </c>
      <c r="D282" t="s">
        <v>12</v>
      </c>
      <c r="E282" s="1">
        <v>300</v>
      </c>
      <c r="F282" t="s">
        <v>5</v>
      </c>
      <c r="G282" t="s">
        <v>5</v>
      </c>
      <c r="H282" t="s">
        <v>5</v>
      </c>
      <c r="I282" t="s">
        <v>7</v>
      </c>
      <c r="J282" t="s">
        <v>8</v>
      </c>
      <c r="K282" t="s">
        <v>9</v>
      </c>
      <c r="L282" t="s">
        <v>8</v>
      </c>
      <c r="M282" t="s">
        <v>9</v>
      </c>
      <c r="N282" t="s">
        <v>10</v>
      </c>
    </row>
    <row r="283" spans="1:14" x14ac:dyDescent="0.35">
      <c r="A283">
        <v>282</v>
      </c>
      <c r="B283">
        <v>37</v>
      </c>
      <c r="C283" t="s">
        <v>2</v>
      </c>
      <c r="D283" t="s">
        <v>3</v>
      </c>
      <c r="E283" s="1">
        <v>300</v>
      </c>
      <c r="F283" t="s">
        <v>6</v>
      </c>
      <c r="G283" t="s">
        <v>30</v>
      </c>
      <c r="H283" t="s">
        <v>30</v>
      </c>
      <c r="I283" t="s">
        <v>7</v>
      </c>
      <c r="J283" t="s">
        <v>9</v>
      </c>
      <c r="K283" t="s">
        <v>9</v>
      </c>
      <c r="L283" t="s">
        <v>9</v>
      </c>
      <c r="M283" t="s">
        <v>8</v>
      </c>
      <c r="N283" t="s">
        <v>10</v>
      </c>
    </row>
    <row r="284" spans="1:14" x14ac:dyDescent="0.35">
      <c r="A284">
        <v>283</v>
      </c>
      <c r="B284">
        <v>28</v>
      </c>
      <c r="C284" t="s">
        <v>2</v>
      </c>
      <c r="D284" t="s">
        <v>11</v>
      </c>
      <c r="E284" s="1">
        <v>800</v>
      </c>
      <c r="F284" t="s">
        <v>6</v>
      </c>
      <c r="G284" t="s">
        <v>30</v>
      </c>
      <c r="H284" t="s">
        <v>30</v>
      </c>
      <c r="I284" t="s">
        <v>7</v>
      </c>
      <c r="J284" t="s">
        <v>9</v>
      </c>
      <c r="K284" t="s">
        <v>9</v>
      </c>
      <c r="L284" t="s">
        <v>9</v>
      </c>
      <c r="M284" t="s">
        <v>9</v>
      </c>
      <c r="N284" t="s">
        <v>10</v>
      </c>
    </row>
    <row r="285" spans="1:14" x14ac:dyDescent="0.35">
      <c r="A285">
        <v>284</v>
      </c>
      <c r="B285">
        <v>20</v>
      </c>
      <c r="C285" t="s">
        <v>2</v>
      </c>
      <c r="D285" t="s">
        <v>12</v>
      </c>
      <c r="E285" s="1">
        <v>200</v>
      </c>
      <c r="F285" t="s">
        <v>5</v>
      </c>
      <c r="G285" t="s">
        <v>5</v>
      </c>
      <c r="H285" t="s">
        <v>6</v>
      </c>
      <c r="I285" t="s">
        <v>14</v>
      </c>
      <c r="J285" t="s">
        <v>9</v>
      </c>
      <c r="K285" t="s">
        <v>9</v>
      </c>
      <c r="L285" t="s">
        <v>9</v>
      </c>
      <c r="M285" t="s">
        <v>9</v>
      </c>
      <c r="N285" t="s">
        <v>10</v>
      </c>
    </row>
    <row r="286" spans="1:14" x14ac:dyDescent="0.35">
      <c r="A286">
        <v>285</v>
      </c>
      <c r="B286">
        <v>32</v>
      </c>
      <c r="C286" t="s">
        <v>2</v>
      </c>
      <c r="D286" t="s">
        <v>11</v>
      </c>
      <c r="E286" s="1">
        <v>310</v>
      </c>
      <c r="F286" t="s">
        <v>5</v>
      </c>
      <c r="G286" t="s">
        <v>5</v>
      </c>
      <c r="H286" t="s">
        <v>5</v>
      </c>
      <c r="I286" t="s">
        <v>7</v>
      </c>
      <c r="J286" t="s">
        <v>9</v>
      </c>
      <c r="K286" t="s">
        <v>8</v>
      </c>
      <c r="L286" t="s">
        <v>9</v>
      </c>
      <c r="M286" t="s">
        <v>9</v>
      </c>
      <c r="N286" t="s">
        <v>10</v>
      </c>
    </row>
    <row r="287" spans="1:14" x14ac:dyDescent="0.35">
      <c r="A287">
        <v>286</v>
      </c>
      <c r="B287">
        <v>30</v>
      </c>
      <c r="C287" t="s">
        <v>2</v>
      </c>
      <c r="D287" t="s">
        <v>15</v>
      </c>
      <c r="E287" s="1">
        <v>800</v>
      </c>
      <c r="F287" t="s">
        <v>5</v>
      </c>
      <c r="G287" t="s">
        <v>5</v>
      </c>
      <c r="H287" t="s">
        <v>5</v>
      </c>
      <c r="I287" t="s">
        <v>7</v>
      </c>
      <c r="J287" t="s">
        <v>8</v>
      </c>
      <c r="K287" t="s">
        <v>9</v>
      </c>
      <c r="L287" t="s">
        <v>9</v>
      </c>
      <c r="M287" t="s">
        <v>9</v>
      </c>
      <c r="N287" t="s">
        <v>10</v>
      </c>
    </row>
    <row r="288" spans="1:14" x14ac:dyDescent="0.35">
      <c r="A288">
        <v>287</v>
      </c>
      <c r="B288">
        <v>28</v>
      </c>
      <c r="C288" t="s">
        <v>2</v>
      </c>
      <c r="D288" t="s">
        <v>11</v>
      </c>
      <c r="E288" s="1">
        <v>300</v>
      </c>
      <c r="F288" t="s">
        <v>5</v>
      </c>
      <c r="G288" t="s">
        <v>5</v>
      </c>
      <c r="H288" t="s">
        <v>6</v>
      </c>
      <c r="I288" t="s">
        <v>7</v>
      </c>
      <c r="J288" t="s">
        <v>9</v>
      </c>
      <c r="K288" t="s">
        <v>9</v>
      </c>
      <c r="L288" t="s">
        <v>9</v>
      </c>
      <c r="M288" t="s">
        <v>8</v>
      </c>
      <c r="N288" t="s">
        <v>10</v>
      </c>
    </row>
    <row r="289" spans="1:14" x14ac:dyDescent="0.35">
      <c r="A289">
        <v>288</v>
      </c>
      <c r="B289">
        <v>38</v>
      </c>
      <c r="C289" t="s">
        <v>2</v>
      </c>
      <c r="D289" t="s">
        <v>15</v>
      </c>
      <c r="E289" s="1">
        <v>850</v>
      </c>
      <c r="F289" t="s">
        <v>5</v>
      </c>
      <c r="G289" t="s">
        <v>5</v>
      </c>
      <c r="H289" t="s">
        <v>6</v>
      </c>
      <c r="I289" t="s">
        <v>7</v>
      </c>
      <c r="J289" t="s">
        <v>9</v>
      </c>
      <c r="K289" t="s">
        <v>8</v>
      </c>
      <c r="L289" t="s">
        <v>8</v>
      </c>
      <c r="M289" t="s">
        <v>9</v>
      </c>
      <c r="N289" t="s">
        <v>10</v>
      </c>
    </row>
    <row r="290" spans="1:14" x14ac:dyDescent="0.35">
      <c r="A290">
        <v>289</v>
      </c>
      <c r="B290">
        <v>28</v>
      </c>
      <c r="C290" t="s">
        <v>16</v>
      </c>
      <c r="D290" t="s">
        <v>12</v>
      </c>
      <c r="E290" s="1">
        <v>250</v>
      </c>
      <c r="F290" t="s">
        <v>6</v>
      </c>
      <c r="G290" t="s">
        <v>30</v>
      </c>
      <c r="H290" t="s">
        <v>30</v>
      </c>
      <c r="I290" t="s">
        <v>14</v>
      </c>
      <c r="J290" t="s">
        <v>9</v>
      </c>
      <c r="K290" t="s">
        <v>9</v>
      </c>
      <c r="L290" t="s">
        <v>9</v>
      </c>
      <c r="M290" t="s">
        <v>9</v>
      </c>
      <c r="N290" t="s">
        <v>10</v>
      </c>
    </row>
    <row r="291" spans="1:14" x14ac:dyDescent="0.35">
      <c r="A291">
        <v>290</v>
      </c>
      <c r="B291">
        <v>22</v>
      </c>
      <c r="C291" t="s">
        <v>2</v>
      </c>
      <c r="D291" t="s">
        <v>12</v>
      </c>
      <c r="E291" s="1">
        <v>200</v>
      </c>
      <c r="F291" t="s">
        <v>5</v>
      </c>
      <c r="G291" t="s">
        <v>5</v>
      </c>
      <c r="H291" t="s">
        <v>6</v>
      </c>
      <c r="I291" t="s">
        <v>7</v>
      </c>
      <c r="J291" t="s">
        <v>9</v>
      </c>
      <c r="K291" t="s">
        <v>9</v>
      </c>
      <c r="L291" t="s">
        <v>9</v>
      </c>
      <c r="M291" t="s">
        <v>9</v>
      </c>
      <c r="N291" t="s">
        <v>10</v>
      </c>
    </row>
    <row r="292" spans="1:14" x14ac:dyDescent="0.35">
      <c r="A292">
        <v>291</v>
      </c>
      <c r="B292">
        <v>34</v>
      </c>
      <c r="C292" t="s">
        <v>2</v>
      </c>
      <c r="D292" t="s">
        <v>12</v>
      </c>
      <c r="E292" s="1">
        <v>550</v>
      </c>
      <c r="F292" t="s">
        <v>5</v>
      </c>
      <c r="G292" t="s">
        <v>5</v>
      </c>
      <c r="H292" t="s">
        <v>5</v>
      </c>
      <c r="I292" t="s">
        <v>7</v>
      </c>
      <c r="J292" t="s">
        <v>8</v>
      </c>
      <c r="K292" t="s">
        <v>8</v>
      </c>
      <c r="L292" t="s">
        <v>8</v>
      </c>
      <c r="M292" t="s">
        <v>8</v>
      </c>
      <c r="N292" t="s">
        <v>10</v>
      </c>
    </row>
    <row r="293" spans="1:14" x14ac:dyDescent="0.35">
      <c r="A293">
        <v>292</v>
      </c>
      <c r="B293">
        <v>34</v>
      </c>
      <c r="C293" t="s">
        <v>2</v>
      </c>
      <c r="D293" t="s">
        <v>11</v>
      </c>
      <c r="E293" s="1">
        <v>300</v>
      </c>
      <c r="F293" t="s">
        <v>5</v>
      </c>
      <c r="G293" t="s">
        <v>5</v>
      </c>
      <c r="H293" t="s">
        <v>5</v>
      </c>
      <c r="I293" t="s">
        <v>14</v>
      </c>
      <c r="J293" t="s">
        <v>9</v>
      </c>
      <c r="K293" t="s">
        <v>9</v>
      </c>
      <c r="L293" t="s">
        <v>9</v>
      </c>
      <c r="M293" t="s">
        <v>8</v>
      </c>
      <c r="N293" t="s">
        <v>10</v>
      </c>
    </row>
    <row r="294" spans="1:14" x14ac:dyDescent="0.35">
      <c r="A294">
        <v>293</v>
      </c>
      <c r="B294">
        <v>19</v>
      </c>
      <c r="C294" t="s">
        <v>17</v>
      </c>
      <c r="D294" t="s">
        <v>12</v>
      </c>
      <c r="E294" s="1">
        <v>450</v>
      </c>
      <c r="F294" t="s">
        <v>5</v>
      </c>
      <c r="G294" t="s">
        <v>5</v>
      </c>
      <c r="H294" t="s">
        <v>6</v>
      </c>
      <c r="I294" t="s">
        <v>7</v>
      </c>
      <c r="J294" t="s">
        <v>9</v>
      </c>
      <c r="K294" t="s">
        <v>8</v>
      </c>
      <c r="L294" t="s">
        <v>8</v>
      </c>
      <c r="M294" t="s">
        <v>9</v>
      </c>
      <c r="N294" t="s">
        <v>10</v>
      </c>
    </row>
    <row r="295" spans="1:14" x14ac:dyDescent="0.35">
      <c r="A295">
        <v>294</v>
      </c>
      <c r="B295">
        <v>42</v>
      </c>
      <c r="C295" t="s">
        <v>17</v>
      </c>
      <c r="D295" t="s">
        <v>12</v>
      </c>
      <c r="E295" s="1">
        <v>400</v>
      </c>
      <c r="F295" t="s">
        <v>5</v>
      </c>
      <c r="G295" t="s">
        <v>4</v>
      </c>
      <c r="H295" t="s">
        <v>5</v>
      </c>
      <c r="I295" t="s">
        <v>14</v>
      </c>
      <c r="J295" t="s">
        <v>8</v>
      </c>
      <c r="K295" t="s">
        <v>8</v>
      </c>
      <c r="L295" t="s">
        <v>8</v>
      </c>
      <c r="M295" t="s">
        <v>8</v>
      </c>
      <c r="N295" t="s">
        <v>10</v>
      </c>
    </row>
    <row r="296" spans="1:14" x14ac:dyDescent="0.35">
      <c r="A296">
        <v>295</v>
      </c>
      <c r="B296">
        <v>23</v>
      </c>
      <c r="C296" t="s">
        <v>2</v>
      </c>
      <c r="D296" t="s">
        <v>12</v>
      </c>
      <c r="E296" s="1">
        <v>400</v>
      </c>
      <c r="F296" t="s">
        <v>5</v>
      </c>
      <c r="G296" t="s">
        <v>4</v>
      </c>
      <c r="H296" t="s">
        <v>6</v>
      </c>
      <c r="I296" t="s">
        <v>14</v>
      </c>
      <c r="J296" t="s">
        <v>9</v>
      </c>
      <c r="K296" t="s">
        <v>9</v>
      </c>
      <c r="L296" t="s">
        <v>9</v>
      </c>
      <c r="M296" t="s">
        <v>9</v>
      </c>
      <c r="N296" t="s">
        <v>10</v>
      </c>
    </row>
    <row r="297" spans="1:14" x14ac:dyDescent="0.35">
      <c r="A297">
        <v>296</v>
      </c>
      <c r="B297">
        <v>25</v>
      </c>
      <c r="C297" t="s">
        <v>2</v>
      </c>
      <c r="D297" t="s">
        <v>12</v>
      </c>
      <c r="E297" s="1">
        <v>450</v>
      </c>
      <c r="F297" t="s">
        <v>6</v>
      </c>
      <c r="G297" t="s">
        <v>30</v>
      </c>
      <c r="H297" t="s">
        <v>30</v>
      </c>
      <c r="I297" t="s">
        <v>7</v>
      </c>
      <c r="J297" t="s">
        <v>8</v>
      </c>
      <c r="K297" t="s">
        <v>9</v>
      </c>
      <c r="L297" t="s">
        <v>8</v>
      </c>
      <c r="M297" t="s">
        <v>8</v>
      </c>
      <c r="N297" t="s">
        <v>10</v>
      </c>
    </row>
    <row r="298" spans="1:14" x14ac:dyDescent="0.35">
      <c r="A298">
        <v>297</v>
      </c>
      <c r="B298">
        <v>31</v>
      </c>
      <c r="C298" t="s">
        <v>2</v>
      </c>
      <c r="D298" t="s">
        <v>15</v>
      </c>
      <c r="E298" s="1">
        <v>1500</v>
      </c>
      <c r="F298" t="s">
        <v>5</v>
      </c>
      <c r="G298" t="s">
        <v>5</v>
      </c>
      <c r="H298" t="s">
        <v>6</v>
      </c>
      <c r="I298" t="s">
        <v>7</v>
      </c>
      <c r="J298" t="s">
        <v>8</v>
      </c>
      <c r="K298" t="s">
        <v>8</v>
      </c>
      <c r="L298" t="s">
        <v>8</v>
      </c>
      <c r="M298" t="s">
        <v>8</v>
      </c>
      <c r="N298" t="s">
        <v>10</v>
      </c>
    </row>
    <row r="299" spans="1:14" x14ac:dyDescent="0.35">
      <c r="A299">
        <v>298</v>
      </c>
      <c r="B299">
        <v>26</v>
      </c>
      <c r="C299" t="s">
        <v>2</v>
      </c>
      <c r="D299" t="s">
        <v>12</v>
      </c>
      <c r="E299" s="1">
        <v>1500</v>
      </c>
      <c r="F299" t="s">
        <v>5</v>
      </c>
      <c r="G299" t="s">
        <v>5</v>
      </c>
      <c r="H299" t="s">
        <v>6</v>
      </c>
      <c r="I299" t="s">
        <v>7</v>
      </c>
      <c r="J299" t="s">
        <v>8</v>
      </c>
      <c r="K299" t="s">
        <v>8</v>
      </c>
      <c r="L299" t="s">
        <v>8</v>
      </c>
      <c r="M299" t="s">
        <v>8</v>
      </c>
      <c r="N299" t="s">
        <v>10</v>
      </c>
    </row>
    <row r="300" spans="1:14" x14ac:dyDescent="0.35">
      <c r="A300">
        <v>299</v>
      </c>
      <c r="B300">
        <v>30</v>
      </c>
      <c r="C300" t="s">
        <v>2</v>
      </c>
      <c r="D300" t="s">
        <v>12</v>
      </c>
      <c r="E300" s="1">
        <v>180</v>
      </c>
      <c r="F300" t="s">
        <v>5</v>
      </c>
      <c r="G300" t="s">
        <v>5</v>
      </c>
      <c r="H300" t="s">
        <v>6</v>
      </c>
      <c r="I300" t="s">
        <v>7</v>
      </c>
      <c r="J300" t="s">
        <v>9</v>
      </c>
      <c r="K300" t="s">
        <v>9</v>
      </c>
      <c r="L300" t="s">
        <v>9</v>
      </c>
      <c r="M300" t="s">
        <v>9</v>
      </c>
      <c r="N300" t="s">
        <v>10</v>
      </c>
    </row>
    <row r="301" spans="1:14" x14ac:dyDescent="0.35">
      <c r="A301">
        <v>300</v>
      </c>
      <c r="B301">
        <v>40</v>
      </c>
      <c r="C301" t="s">
        <v>17</v>
      </c>
      <c r="D301" t="s">
        <v>15</v>
      </c>
      <c r="E301" s="1">
        <v>310</v>
      </c>
      <c r="F301" t="s">
        <v>5</v>
      </c>
      <c r="G301" t="s">
        <v>4</v>
      </c>
      <c r="H301" t="s">
        <v>6</v>
      </c>
      <c r="I301" t="s">
        <v>7</v>
      </c>
      <c r="J301" t="s">
        <v>8</v>
      </c>
      <c r="K301" t="s">
        <v>9</v>
      </c>
      <c r="L301" t="s">
        <v>8</v>
      </c>
      <c r="M301" t="s">
        <v>9</v>
      </c>
      <c r="N301"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C2FA-BBD0-4610-A238-A68E23CAC79E}">
  <dimension ref="B1:C18"/>
  <sheetViews>
    <sheetView workbookViewId="0">
      <selection activeCell="B1" sqref="B1:C1"/>
    </sheetView>
  </sheetViews>
  <sheetFormatPr defaultRowHeight="14.5" x14ac:dyDescent="0.35"/>
  <cols>
    <col min="1" max="1" width="12.08984375" customWidth="1"/>
    <col min="2" max="2" width="11.26953125" customWidth="1"/>
    <col min="3" max="3" width="10.6328125" customWidth="1"/>
    <col min="4" max="4" width="18.36328125" customWidth="1"/>
    <col min="5" max="5" width="12.81640625" customWidth="1"/>
  </cols>
  <sheetData>
    <row r="1" spans="2:3" x14ac:dyDescent="0.35">
      <c r="B1" s="20" t="s">
        <v>35</v>
      </c>
      <c r="C1" s="20"/>
    </row>
    <row r="2" spans="2:3" x14ac:dyDescent="0.35">
      <c r="B2" s="2" t="s">
        <v>40</v>
      </c>
      <c r="C2" s="4">
        <f>COUNT(tbl_BPCR[Age])</f>
        <v>300</v>
      </c>
    </row>
    <row r="3" spans="2:3" x14ac:dyDescent="0.35">
      <c r="B3" s="3" t="s">
        <v>39</v>
      </c>
      <c r="C3" s="11">
        <f>AVERAGE(tbl_BPCR[Age])</f>
        <v>28.913333333333334</v>
      </c>
    </row>
    <row r="4" spans="2:3" x14ac:dyDescent="0.35">
      <c r="B4" s="2" t="s">
        <v>38</v>
      </c>
      <c r="C4" s="4">
        <f>MEDIAN(tbl_BPCR[Age])</f>
        <v>29</v>
      </c>
    </row>
    <row r="5" spans="2:3" x14ac:dyDescent="0.35">
      <c r="B5" s="3" t="s">
        <v>37</v>
      </c>
      <c r="C5" s="5">
        <f>MODE(tbl_BPCR[Age])</f>
        <v>28</v>
      </c>
    </row>
    <row r="6" spans="2:3" x14ac:dyDescent="0.35">
      <c r="B6" s="2" t="s">
        <v>31</v>
      </c>
      <c r="C6" s="4">
        <f>MAX(tbl_BPCR[Age])</f>
        <v>43</v>
      </c>
    </row>
    <row r="7" spans="2:3" x14ac:dyDescent="0.35">
      <c r="B7" s="3" t="s">
        <v>32</v>
      </c>
      <c r="C7" s="5">
        <f>MIN(tbl_BPCR[Age])</f>
        <v>18</v>
      </c>
    </row>
    <row r="8" spans="2:3" x14ac:dyDescent="0.35">
      <c r="B8" s="2" t="s">
        <v>33</v>
      </c>
      <c r="C8" s="12">
        <f>_xlfn.STDEV.S(tbl_BPCR[Age])</f>
        <v>5.819970999096415</v>
      </c>
    </row>
    <row r="11" spans="2:3" x14ac:dyDescent="0.35">
      <c r="B11" s="21" t="s">
        <v>41</v>
      </c>
      <c r="C11" s="21"/>
    </row>
    <row r="12" spans="2:3" x14ac:dyDescent="0.35">
      <c r="B12" s="6" t="s">
        <v>34</v>
      </c>
      <c r="C12" s="13">
        <f>SUM(tbl_BPCR[Income])</f>
        <v>154140</v>
      </c>
    </row>
    <row r="13" spans="2:3" x14ac:dyDescent="0.35">
      <c r="B13" s="8" t="s">
        <v>39</v>
      </c>
      <c r="C13" s="9">
        <f>AVERAGE(tbl_BPCR[Income])</f>
        <v>513.79999999999995</v>
      </c>
    </row>
    <row r="14" spans="2:3" x14ac:dyDescent="0.35">
      <c r="B14" s="6" t="s">
        <v>38</v>
      </c>
      <c r="C14" s="7">
        <f>MEDIAN(tbl_BPCR[Income])</f>
        <v>400</v>
      </c>
    </row>
    <row r="15" spans="2:3" x14ac:dyDescent="0.35">
      <c r="B15" s="8" t="s">
        <v>37</v>
      </c>
      <c r="C15" s="9">
        <f>MODE(tbl_BPCR[Income])</f>
        <v>300</v>
      </c>
    </row>
    <row r="16" spans="2:3" x14ac:dyDescent="0.35">
      <c r="B16" s="6" t="s">
        <v>31</v>
      </c>
      <c r="C16" s="7">
        <f>MAX(tbl_BPCR[Income])</f>
        <v>3000</v>
      </c>
    </row>
    <row r="17" spans="2:3" x14ac:dyDescent="0.35">
      <c r="B17" s="8" t="s">
        <v>32</v>
      </c>
      <c r="C17" s="9">
        <f>MIN(tbl_BPCR[Income])</f>
        <v>150</v>
      </c>
    </row>
    <row r="18" spans="2:3" x14ac:dyDescent="0.35">
      <c r="B18" s="10" t="s">
        <v>33</v>
      </c>
      <c r="C18" s="14">
        <f>_xlfn.STDEV.S(tbl_BPCR[Income])</f>
        <v>399.16161302289174</v>
      </c>
    </row>
  </sheetData>
  <mergeCells count="2">
    <mergeCell ref="B1:C1"/>
    <mergeCell ref="B11:C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2B775-8707-4DDD-A050-8F8833778D8B}">
  <dimension ref="A1:BJ30"/>
  <sheetViews>
    <sheetView topLeftCell="AA8" workbookViewId="0">
      <selection activeCell="AE3" sqref="AE3"/>
    </sheetView>
  </sheetViews>
  <sheetFormatPr defaultRowHeight="14.5" x14ac:dyDescent="0.35"/>
  <cols>
    <col min="1" max="1" width="18.36328125" bestFit="1" customWidth="1"/>
    <col min="2" max="2" width="3.81640625" bestFit="1" customWidth="1"/>
    <col min="3" max="3" width="11.6328125" bestFit="1" customWidth="1"/>
    <col min="5" max="5" width="5.26953125" customWidth="1"/>
    <col min="6" max="6" width="21.08984375" bestFit="1" customWidth="1"/>
    <col min="7" max="7" width="8.453125" customWidth="1"/>
    <col min="8" max="8" width="11.90625" customWidth="1"/>
    <col min="10" max="10" width="23.7265625" bestFit="1" customWidth="1"/>
    <col min="11" max="11" width="3.81640625" bestFit="1" customWidth="1"/>
    <col min="12" max="12" width="11.6328125" bestFit="1" customWidth="1"/>
    <col min="14" max="14" width="21.08984375" bestFit="1" customWidth="1"/>
    <col min="15" max="15" width="3.81640625" bestFit="1" customWidth="1"/>
    <col min="16" max="16" width="11.6328125" bestFit="1" customWidth="1"/>
    <col min="17" max="17" width="8.36328125" customWidth="1"/>
    <col min="18" max="18" width="8.7265625" hidden="1" customWidth="1"/>
    <col min="19" max="19" width="11.36328125" customWidth="1"/>
    <col min="20" max="21" width="23.7265625" bestFit="1" customWidth="1"/>
    <col min="22" max="22" width="21.90625" bestFit="1" customWidth="1"/>
    <col min="23" max="23" width="18.36328125" bestFit="1" customWidth="1"/>
    <col min="24" max="24" width="21.90625" bestFit="1" customWidth="1"/>
    <col min="25" max="25" width="3.81640625" bestFit="1" customWidth="1"/>
    <col min="26" max="26" width="11.6328125" bestFit="1" customWidth="1"/>
    <col min="27" max="27" width="12" bestFit="1" customWidth="1"/>
    <col min="28" max="28" width="9.26953125" bestFit="1" customWidth="1"/>
    <col min="29" max="29" width="29.36328125" bestFit="1" customWidth="1"/>
    <col min="31" max="32" width="22.453125" bestFit="1" customWidth="1"/>
    <col min="33" max="33" width="29.36328125" bestFit="1" customWidth="1"/>
    <col min="34" max="34" width="8.54296875" bestFit="1" customWidth="1"/>
    <col min="35" max="35" width="8.36328125" bestFit="1" customWidth="1"/>
    <col min="36" max="36" width="8.7265625" customWidth="1"/>
    <col min="37" max="37" width="22.7265625" bestFit="1" customWidth="1"/>
    <col min="38" max="38" width="22" bestFit="1" customWidth="1"/>
    <col min="41" max="41" width="18.36328125" bestFit="1" customWidth="1"/>
    <col min="42" max="42" width="26.7265625" bestFit="1" customWidth="1"/>
    <col min="43" max="43" width="8.7265625" customWidth="1"/>
    <col min="47" max="48" width="19.26953125" bestFit="1" customWidth="1"/>
    <col min="49" max="49" width="26.7265625" bestFit="1" customWidth="1"/>
    <col min="53" max="54" width="22.453125" bestFit="1" customWidth="1"/>
    <col min="55" max="55" width="26.7265625" bestFit="1" customWidth="1"/>
    <col min="58" max="59" width="23.7265625" bestFit="1" customWidth="1"/>
    <col min="60" max="60" width="26.7265625" bestFit="1" customWidth="1"/>
    <col min="62" max="63" width="26.7265625" bestFit="1" customWidth="1"/>
  </cols>
  <sheetData>
    <row r="1" spans="1:62" ht="17.5" customHeight="1" x14ac:dyDescent="0.35">
      <c r="A1" s="22"/>
      <c r="B1" s="22"/>
      <c r="C1" s="22"/>
      <c r="AK1" s="17" t="s">
        <v>45</v>
      </c>
      <c r="AL1" s="17" t="s">
        <v>46</v>
      </c>
    </row>
    <row r="2" spans="1:62" ht="16" customHeight="1" x14ac:dyDescent="0.35">
      <c r="AK2" s="18" t="s">
        <v>0</v>
      </c>
      <c r="AL2" s="18" t="s">
        <v>28</v>
      </c>
      <c r="AU2" s="15" t="s">
        <v>29</v>
      </c>
      <c r="AV2" s="15" t="s">
        <v>21</v>
      </c>
      <c r="AW2" t="s">
        <v>51</v>
      </c>
      <c r="BA2" s="15" t="s">
        <v>29</v>
      </c>
      <c r="BB2" s="15" t="s">
        <v>23</v>
      </c>
      <c r="BC2" t="s">
        <v>51</v>
      </c>
      <c r="BF2" s="15" t="s">
        <v>29</v>
      </c>
      <c r="BG2" s="15" t="s">
        <v>28</v>
      </c>
      <c r="BH2" t="s">
        <v>51</v>
      </c>
    </row>
    <row r="3" spans="1:62" ht="19.5" customHeight="1" x14ac:dyDescent="0.35">
      <c r="A3" s="15" t="s">
        <v>19</v>
      </c>
      <c r="B3" t="s">
        <v>40</v>
      </c>
      <c r="C3" t="s">
        <v>43</v>
      </c>
      <c r="F3" s="15" t="s">
        <v>25</v>
      </c>
      <c r="G3" t="s">
        <v>40</v>
      </c>
      <c r="H3" t="s">
        <v>44</v>
      </c>
      <c r="J3" s="15" t="s">
        <v>22</v>
      </c>
      <c r="K3" t="s">
        <v>40</v>
      </c>
      <c r="L3" t="s">
        <v>43</v>
      </c>
      <c r="N3" s="15" t="s">
        <v>29</v>
      </c>
      <c r="O3" t="s">
        <v>40</v>
      </c>
      <c r="P3" t="s">
        <v>44</v>
      </c>
      <c r="T3" s="15" t="s">
        <v>20</v>
      </c>
      <c r="U3" s="15" t="s">
        <v>28</v>
      </c>
      <c r="V3" t="s">
        <v>48</v>
      </c>
      <c r="AA3" s="15" t="s">
        <v>28</v>
      </c>
      <c r="AB3" s="15" t="s">
        <v>1</v>
      </c>
      <c r="AC3" t="s">
        <v>47</v>
      </c>
      <c r="AE3" s="15" t="s">
        <v>28</v>
      </c>
      <c r="AF3" s="15" t="s">
        <v>23</v>
      </c>
      <c r="AG3" t="s">
        <v>47</v>
      </c>
      <c r="AK3" s="18" t="s">
        <v>20</v>
      </c>
      <c r="AL3" s="18" t="s">
        <v>28</v>
      </c>
      <c r="AU3" t="s">
        <v>10</v>
      </c>
      <c r="AV3" t="s">
        <v>6</v>
      </c>
      <c r="AW3" s="25">
        <v>0.17333333333333334</v>
      </c>
      <c r="BA3" t="s">
        <v>10</v>
      </c>
      <c r="BB3" t="s">
        <v>30</v>
      </c>
      <c r="BC3" s="23">
        <v>52</v>
      </c>
      <c r="BF3" t="s">
        <v>10</v>
      </c>
      <c r="BG3" t="s">
        <v>8</v>
      </c>
      <c r="BH3" s="25">
        <v>0.37666666666666665</v>
      </c>
      <c r="BJ3" t="s">
        <v>47</v>
      </c>
    </row>
    <row r="4" spans="1:62" ht="17.5" customHeight="1" x14ac:dyDescent="0.35">
      <c r="A4" t="s">
        <v>16</v>
      </c>
      <c r="B4" s="23">
        <v>12</v>
      </c>
      <c r="C4" s="16">
        <v>0.04</v>
      </c>
      <c r="F4" t="s">
        <v>8</v>
      </c>
      <c r="G4" s="23">
        <v>106</v>
      </c>
      <c r="H4" s="23">
        <v>106</v>
      </c>
      <c r="J4" t="s">
        <v>30</v>
      </c>
      <c r="K4" s="23">
        <v>52</v>
      </c>
      <c r="L4" s="16">
        <v>0.17333333333333334</v>
      </c>
      <c r="N4" t="s">
        <v>10</v>
      </c>
      <c r="O4" s="23">
        <v>298</v>
      </c>
      <c r="P4" s="23">
        <v>298</v>
      </c>
      <c r="T4" t="s">
        <v>3</v>
      </c>
      <c r="U4" t="s">
        <v>8</v>
      </c>
      <c r="V4" s="24">
        <v>3.6666666666666667E-2</v>
      </c>
      <c r="AA4" t="s">
        <v>8</v>
      </c>
      <c r="AB4" s="26">
        <v>200</v>
      </c>
      <c r="AC4" s="16">
        <v>2.8469750889679714E-2</v>
      </c>
      <c r="AE4" t="s">
        <v>8</v>
      </c>
      <c r="AF4" t="s">
        <v>30</v>
      </c>
      <c r="AG4" s="24">
        <v>3.3333333333333333E-2</v>
      </c>
      <c r="AK4" s="18" t="s">
        <v>1</v>
      </c>
      <c r="AL4" s="18" t="s">
        <v>28</v>
      </c>
      <c r="AV4" t="s">
        <v>5</v>
      </c>
      <c r="AW4" s="25">
        <v>0.82</v>
      </c>
      <c r="BB4" t="s">
        <v>6</v>
      </c>
      <c r="BC4" s="23">
        <v>151</v>
      </c>
      <c r="BG4" t="s">
        <v>9</v>
      </c>
      <c r="BH4" s="25">
        <v>0.6166666666666667</v>
      </c>
      <c r="BJ4" s="23">
        <v>300</v>
      </c>
    </row>
    <row r="5" spans="1:62" ht="18" customHeight="1" x14ac:dyDescent="0.35">
      <c r="A5" t="s">
        <v>2</v>
      </c>
      <c r="B5" s="23">
        <v>275</v>
      </c>
      <c r="C5" s="16">
        <v>0.91666666666666663</v>
      </c>
      <c r="F5" t="s">
        <v>9</v>
      </c>
      <c r="G5" s="23">
        <v>194</v>
      </c>
      <c r="H5" s="23">
        <v>194</v>
      </c>
      <c r="J5" t="s">
        <v>4</v>
      </c>
      <c r="K5" s="23">
        <v>57</v>
      </c>
      <c r="L5" s="16">
        <v>0.19</v>
      </c>
      <c r="N5" t="s">
        <v>13</v>
      </c>
      <c r="O5" s="23">
        <v>2</v>
      </c>
      <c r="P5" s="23">
        <v>2</v>
      </c>
      <c r="U5" t="s">
        <v>9</v>
      </c>
      <c r="V5" s="24">
        <v>0.11666666666666667</v>
      </c>
      <c r="AB5" s="26">
        <v>300</v>
      </c>
      <c r="AC5" s="16">
        <v>5.3380782918149468E-2</v>
      </c>
      <c r="AF5" t="s">
        <v>6</v>
      </c>
      <c r="AG5" s="24">
        <v>0.15</v>
      </c>
      <c r="AK5" s="18" t="s">
        <v>23</v>
      </c>
      <c r="AL5" s="18" t="s">
        <v>28</v>
      </c>
      <c r="AU5" t="s">
        <v>49</v>
      </c>
      <c r="AW5" s="25">
        <v>0.99333333333333329</v>
      </c>
      <c r="BB5" t="s">
        <v>5</v>
      </c>
      <c r="BC5" s="23">
        <v>95</v>
      </c>
      <c r="BF5" t="s">
        <v>49</v>
      </c>
      <c r="BH5" s="25">
        <v>0.99333333333333329</v>
      </c>
    </row>
    <row r="6" spans="1:62" ht="17" customHeight="1" x14ac:dyDescent="0.35">
      <c r="A6" t="s">
        <v>17</v>
      </c>
      <c r="B6" s="23">
        <v>13</v>
      </c>
      <c r="C6" s="16">
        <v>4.3333333333333335E-2</v>
      </c>
      <c r="F6" t="s">
        <v>42</v>
      </c>
      <c r="G6" s="23">
        <v>300</v>
      </c>
      <c r="H6" s="23">
        <v>300</v>
      </c>
      <c r="J6" t="s">
        <v>5</v>
      </c>
      <c r="K6" s="23">
        <v>191</v>
      </c>
      <c r="L6" s="16">
        <v>0.63666666666666671</v>
      </c>
      <c r="N6" t="s">
        <v>42</v>
      </c>
      <c r="O6" s="23">
        <v>300</v>
      </c>
      <c r="P6" s="23">
        <v>300</v>
      </c>
      <c r="T6" t="s">
        <v>55</v>
      </c>
      <c r="V6" s="24">
        <v>0.15333333333333332</v>
      </c>
      <c r="AB6" s="26">
        <v>350</v>
      </c>
      <c r="AC6" s="16">
        <v>1.0676156583629894E-2</v>
      </c>
      <c r="AF6" t="s">
        <v>5</v>
      </c>
      <c r="AG6" s="24">
        <v>0.2</v>
      </c>
      <c r="AK6" s="18" t="s">
        <v>20</v>
      </c>
      <c r="AL6" s="18" t="s">
        <v>29</v>
      </c>
      <c r="AU6" t="s">
        <v>13</v>
      </c>
      <c r="AV6" t="s">
        <v>5</v>
      </c>
      <c r="AW6" s="25">
        <v>6.6666666666666671E-3</v>
      </c>
      <c r="BA6" t="s">
        <v>49</v>
      </c>
      <c r="BC6" s="23">
        <v>298</v>
      </c>
      <c r="BF6" t="s">
        <v>13</v>
      </c>
      <c r="BG6" t="s">
        <v>8</v>
      </c>
      <c r="BH6" s="25">
        <v>6.6666666666666671E-3</v>
      </c>
      <c r="BJ6" t="s">
        <v>51</v>
      </c>
    </row>
    <row r="7" spans="1:62" ht="17.5" customHeight="1" x14ac:dyDescent="0.35">
      <c r="A7" t="s">
        <v>42</v>
      </c>
      <c r="B7" s="23">
        <v>300</v>
      </c>
      <c r="C7" s="16">
        <v>1</v>
      </c>
      <c r="J7" t="s">
        <v>42</v>
      </c>
      <c r="K7" s="23">
        <v>300</v>
      </c>
      <c r="L7" s="16">
        <v>1</v>
      </c>
      <c r="T7" t="s">
        <v>12</v>
      </c>
      <c r="U7" t="s">
        <v>8</v>
      </c>
      <c r="V7" s="24">
        <v>9.3333333333333338E-2</v>
      </c>
      <c r="AB7" s="26">
        <v>400</v>
      </c>
      <c r="AC7" s="16">
        <v>3.2028469750889681E-2</v>
      </c>
      <c r="AE7" t="s">
        <v>53</v>
      </c>
      <c r="AG7" s="16">
        <v>0.38333333333333336</v>
      </c>
      <c r="AK7" s="18" t="s">
        <v>21</v>
      </c>
      <c r="AL7" s="18" t="s">
        <v>29</v>
      </c>
      <c r="AU7" t="s">
        <v>50</v>
      </c>
      <c r="AW7" s="25">
        <v>6.6666666666666671E-3</v>
      </c>
      <c r="BA7" t="s">
        <v>13</v>
      </c>
      <c r="BB7" t="s">
        <v>5</v>
      </c>
      <c r="BC7" s="23">
        <v>2</v>
      </c>
      <c r="BF7" t="s">
        <v>50</v>
      </c>
      <c r="BH7" s="25">
        <v>6.6666666666666671E-3</v>
      </c>
      <c r="BJ7" s="16">
        <v>1</v>
      </c>
    </row>
    <row r="8" spans="1:62" ht="18.5" customHeight="1" x14ac:dyDescent="0.35">
      <c r="F8" s="15" t="s">
        <v>26</v>
      </c>
      <c r="G8" t="s">
        <v>40</v>
      </c>
      <c r="H8" t="s">
        <v>44</v>
      </c>
      <c r="U8" t="s">
        <v>9</v>
      </c>
      <c r="V8" s="24">
        <v>0.22333333333333333</v>
      </c>
      <c r="AB8" s="26">
        <v>450</v>
      </c>
      <c r="AC8" s="16">
        <v>2.8469750889679714E-2</v>
      </c>
      <c r="AE8" t="s">
        <v>9</v>
      </c>
      <c r="AF8" t="s">
        <v>30</v>
      </c>
      <c r="AG8" s="24">
        <v>0.14000000000000001</v>
      </c>
      <c r="AK8" s="18" t="s">
        <v>23</v>
      </c>
      <c r="AL8" s="18" t="s">
        <v>29</v>
      </c>
      <c r="AU8" t="s">
        <v>42</v>
      </c>
      <c r="AW8" s="25">
        <v>1</v>
      </c>
      <c r="BA8" t="s">
        <v>50</v>
      </c>
      <c r="BC8" s="23">
        <v>2</v>
      </c>
      <c r="BF8" t="s">
        <v>42</v>
      </c>
      <c r="BH8" s="25">
        <v>1</v>
      </c>
    </row>
    <row r="9" spans="1:62" ht="19" customHeight="1" x14ac:dyDescent="0.35">
      <c r="A9" s="15" t="s">
        <v>20</v>
      </c>
      <c r="B9" t="s">
        <v>40</v>
      </c>
      <c r="C9" t="s">
        <v>43</v>
      </c>
      <c r="F9" t="s">
        <v>8</v>
      </c>
      <c r="G9" s="23">
        <v>84</v>
      </c>
      <c r="H9" s="23">
        <v>84</v>
      </c>
      <c r="T9" t="s">
        <v>56</v>
      </c>
      <c r="V9" s="16">
        <v>0.31666666666666665</v>
      </c>
      <c r="AB9" s="26">
        <v>500</v>
      </c>
      <c r="AC9" s="16">
        <v>5.6939501779359428E-2</v>
      </c>
      <c r="AF9" t="s">
        <v>6</v>
      </c>
      <c r="AG9" s="24">
        <v>0.35333333333333333</v>
      </c>
      <c r="AK9" s="19" t="s">
        <v>28</v>
      </c>
      <c r="AL9" s="19" t="s">
        <v>29</v>
      </c>
      <c r="BA9" t="s">
        <v>42</v>
      </c>
      <c r="BC9" s="23">
        <v>300</v>
      </c>
      <c r="BJ9" t="s">
        <v>52</v>
      </c>
    </row>
    <row r="10" spans="1:62" x14ac:dyDescent="0.35">
      <c r="A10" t="s">
        <v>3</v>
      </c>
      <c r="B10" s="23">
        <v>46</v>
      </c>
      <c r="C10" s="16">
        <v>0.15333333333333332</v>
      </c>
      <c r="F10" t="s">
        <v>9</v>
      </c>
      <c r="G10" s="23">
        <v>216</v>
      </c>
      <c r="H10" s="23">
        <v>216</v>
      </c>
      <c r="J10" s="15" t="s">
        <v>23</v>
      </c>
      <c r="K10" t="s">
        <v>36</v>
      </c>
      <c r="L10" t="s">
        <v>43</v>
      </c>
      <c r="T10" t="s">
        <v>15</v>
      </c>
      <c r="U10" t="s">
        <v>8</v>
      </c>
      <c r="V10" s="24">
        <v>0.12333333333333334</v>
      </c>
      <c r="AB10" s="26">
        <v>600</v>
      </c>
      <c r="AC10" s="16">
        <v>2.8469750889679714E-2</v>
      </c>
      <c r="AF10" t="s">
        <v>5</v>
      </c>
      <c r="AG10" s="24">
        <v>0.12333333333333334</v>
      </c>
      <c r="BJ10" s="16">
        <v>1</v>
      </c>
    </row>
    <row r="11" spans="1:62" x14ac:dyDescent="0.35">
      <c r="A11" t="s">
        <v>12</v>
      </c>
      <c r="B11" s="23">
        <v>95</v>
      </c>
      <c r="C11" s="16">
        <v>0.31666666666666665</v>
      </c>
      <c r="F11" t="s">
        <v>42</v>
      </c>
      <c r="G11" s="23">
        <v>300</v>
      </c>
      <c r="H11" s="23">
        <v>300</v>
      </c>
      <c r="J11" t="s">
        <v>30</v>
      </c>
      <c r="K11" s="23">
        <v>52</v>
      </c>
      <c r="L11" s="16">
        <v>0.17333333333333334</v>
      </c>
      <c r="U11" t="s">
        <v>9</v>
      </c>
      <c r="V11" s="24">
        <v>0.16666666666666666</v>
      </c>
      <c r="AB11" s="26">
        <v>700</v>
      </c>
      <c r="AC11" s="16">
        <v>1.0676156583629894E-2</v>
      </c>
      <c r="AE11" t="s">
        <v>54</v>
      </c>
      <c r="AG11" s="16">
        <v>0.6166666666666667</v>
      </c>
    </row>
    <row r="12" spans="1:62" x14ac:dyDescent="0.35">
      <c r="A12" t="s">
        <v>15</v>
      </c>
      <c r="B12" s="23">
        <v>87</v>
      </c>
      <c r="C12" s="16">
        <v>0.28999999999999998</v>
      </c>
      <c r="J12" t="s">
        <v>6</v>
      </c>
      <c r="K12" s="23">
        <v>151</v>
      </c>
      <c r="L12" s="16">
        <v>0.5033333333333333</v>
      </c>
      <c r="T12" t="s">
        <v>57</v>
      </c>
      <c r="V12" s="25">
        <v>0.28999999999999998</v>
      </c>
      <c r="AB12" s="26">
        <v>800</v>
      </c>
      <c r="AC12" s="16">
        <v>3.5587188612099648E-2</v>
      </c>
      <c r="AE12" t="s">
        <v>42</v>
      </c>
      <c r="AG12" s="16">
        <v>1</v>
      </c>
      <c r="BJ12" t="s">
        <v>51</v>
      </c>
    </row>
    <row r="13" spans="1:62" x14ac:dyDescent="0.35">
      <c r="A13" t="s">
        <v>11</v>
      </c>
      <c r="B13" s="23">
        <v>72</v>
      </c>
      <c r="C13" s="16">
        <v>0.24</v>
      </c>
      <c r="F13" s="15" t="s">
        <v>27</v>
      </c>
      <c r="G13" t="s">
        <v>40</v>
      </c>
      <c r="H13" t="s">
        <v>44</v>
      </c>
      <c r="J13" t="s">
        <v>5</v>
      </c>
      <c r="K13" s="23">
        <v>97</v>
      </c>
      <c r="L13" s="16">
        <v>0.32333333333333331</v>
      </c>
      <c r="T13" t="s">
        <v>11</v>
      </c>
      <c r="U13" t="s">
        <v>8</v>
      </c>
      <c r="V13" s="25">
        <v>0.13</v>
      </c>
      <c r="AB13" s="26">
        <v>1000</v>
      </c>
      <c r="AC13" s="16">
        <v>4.6263345195729534E-2</v>
      </c>
      <c r="BJ13" s="23">
        <v>300</v>
      </c>
    </row>
    <row r="14" spans="1:62" x14ac:dyDescent="0.35">
      <c r="A14" t="s">
        <v>42</v>
      </c>
      <c r="B14" s="23">
        <v>300</v>
      </c>
      <c r="C14" s="16">
        <v>1</v>
      </c>
      <c r="F14" t="s">
        <v>8</v>
      </c>
      <c r="G14" s="23">
        <v>118</v>
      </c>
      <c r="H14" s="23">
        <v>118</v>
      </c>
      <c r="J14" t="s">
        <v>42</v>
      </c>
      <c r="K14" s="23">
        <v>300</v>
      </c>
      <c r="L14" s="16">
        <v>1</v>
      </c>
      <c r="U14" t="s">
        <v>9</v>
      </c>
      <c r="V14" s="25">
        <v>0.11</v>
      </c>
      <c r="AB14" s="26">
        <v>1200</v>
      </c>
      <c r="AC14" s="16">
        <v>1.0676156583629894E-2</v>
      </c>
    </row>
    <row r="15" spans="1:62" x14ac:dyDescent="0.35">
      <c r="F15" t="s">
        <v>9</v>
      </c>
      <c r="G15" s="23">
        <v>182</v>
      </c>
      <c r="H15" s="23">
        <v>182</v>
      </c>
      <c r="T15" t="s">
        <v>58</v>
      </c>
      <c r="V15" s="25">
        <v>0.24</v>
      </c>
      <c r="AB15" s="26">
        <v>1500</v>
      </c>
      <c r="AC15" s="16">
        <v>2.8469750889679714E-2</v>
      </c>
      <c r="BJ15" t="s">
        <v>51</v>
      </c>
    </row>
    <row r="16" spans="1:62" x14ac:dyDescent="0.35">
      <c r="A16" s="15" t="s">
        <v>21</v>
      </c>
      <c r="B16" t="s">
        <v>40</v>
      </c>
      <c r="C16" t="s">
        <v>43</v>
      </c>
      <c r="F16" t="s">
        <v>42</v>
      </c>
      <c r="G16" s="23">
        <v>300</v>
      </c>
      <c r="H16" s="23">
        <v>300</v>
      </c>
      <c r="J16" s="15" t="s">
        <v>28</v>
      </c>
      <c r="K16" t="s">
        <v>40</v>
      </c>
      <c r="L16" t="s">
        <v>44</v>
      </c>
      <c r="T16" t="s">
        <v>42</v>
      </c>
      <c r="V16" s="25">
        <v>1</v>
      </c>
      <c r="AB16" s="26">
        <v>1600</v>
      </c>
      <c r="AC16" s="16">
        <v>1.0676156583629894E-2</v>
      </c>
      <c r="BJ16" s="23">
        <v>300</v>
      </c>
    </row>
    <row r="17" spans="1:29" x14ac:dyDescent="0.35">
      <c r="A17" t="s">
        <v>6</v>
      </c>
      <c r="B17" s="23">
        <v>52</v>
      </c>
      <c r="C17" s="16">
        <v>0.17333333333333334</v>
      </c>
      <c r="J17" t="s">
        <v>8</v>
      </c>
      <c r="K17" s="23">
        <v>115</v>
      </c>
      <c r="L17" s="23">
        <v>115</v>
      </c>
      <c r="AA17" t="s">
        <v>53</v>
      </c>
      <c r="AC17" s="16">
        <v>0.38078291814946619</v>
      </c>
    </row>
    <row r="18" spans="1:29" x14ac:dyDescent="0.35">
      <c r="A18" t="s">
        <v>5</v>
      </c>
      <c r="B18" s="23">
        <v>248</v>
      </c>
      <c r="C18" s="16">
        <v>0.82666666666666666</v>
      </c>
      <c r="F18" s="15" t="s">
        <v>24</v>
      </c>
      <c r="G18" t="s">
        <v>40</v>
      </c>
      <c r="H18" t="s">
        <v>43</v>
      </c>
      <c r="J18" t="s">
        <v>9</v>
      </c>
      <c r="K18" s="23">
        <v>185</v>
      </c>
      <c r="L18" s="23">
        <v>185</v>
      </c>
      <c r="AA18" t="s">
        <v>9</v>
      </c>
      <c r="AB18" s="26">
        <v>150</v>
      </c>
      <c r="AC18" s="16">
        <v>2.8469750889679714E-2</v>
      </c>
    </row>
    <row r="19" spans="1:29" x14ac:dyDescent="0.35">
      <c r="A19" t="s">
        <v>42</v>
      </c>
      <c r="B19" s="23">
        <v>300</v>
      </c>
      <c r="C19" s="16">
        <v>1</v>
      </c>
      <c r="F19" t="s">
        <v>7</v>
      </c>
      <c r="G19" s="23">
        <v>181</v>
      </c>
      <c r="H19" s="16">
        <v>0.60333333333333339</v>
      </c>
      <c r="J19" t="s">
        <v>42</v>
      </c>
      <c r="K19" s="23">
        <v>300</v>
      </c>
      <c r="L19" s="23">
        <v>300</v>
      </c>
      <c r="AB19" s="26">
        <v>180</v>
      </c>
      <c r="AC19" s="16">
        <v>1.4234875444839857E-2</v>
      </c>
    </row>
    <row r="20" spans="1:29" x14ac:dyDescent="0.35">
      <c r="F20" t="s">
        <v>14</v>
      </c>
      <c r="G20" s="23">
        <v>119</v>
      </c>
      <c r="H20" s="16">
        <v>0.39666666666666667</v>
      </c>
      <c r="AB20" s="26">
        <v>200</v>
      </c>
      <c r="AC20" s="16">
        <v>8.5409252669039148E-2</v>
      </c>
    </row>
    <row r="21" spans="1:29" x14ac:dyDescent="0.35">
      <c r="F21" t="s">
        <v>42</v>
      </c>
      <c r="G21" s="23">
        <v>300</v>
      </c>
      <c r="H21" s="16">
        <v>1</v>
      </c>
      <c r="AB21" s="26">
        <v>250</v>
      </c>
      <c r="AC21" s="16">
        <v>5.3380782918149468E-2</v>
      </c>
    </row>
    <row r="22" spans="1:29" x14ac:dyDescent="0.35">
      <c r="AB22" s="26">
        <v>300</v>
      </c>
      <c r="AC22" s="16">
        <v>0.20640569395017794</v>
      </c>
    </row>
    <row r="23" spans="1:29" x14ac:dyDescent="0.35">
      <c r="AB23" s="26">
        <v>350</v>
      </c>
      <c r="AC23" s="16">
        <v>3.5587188612099648E-2</v>
      </c>
    </row>
    <row r="24" spans="1:29" x14ac:dyDescent="0.35">
      <c r="AB24" s="26">
        <v>400</v>
      </c>
      <c r="AC24" s="16">
        <v>6.0498220640569395E-2</v>
      </c>
    </row>
    <row r="25" spans="1:29" x14ac:dyDescent="0.35">
      <c r="AB25" s="26">
        <v>450</v>
      </c>
      <c r="AC25" s="16">
        <v>1.4234875444839857E-2</v>
      </c>
    </row>
    <row r="26" spans="1:29" x14ac:dyDescent="0.35">
      <c r="AB26" s="26">
        <v>500</v>
      </c>
      <c r="AC26" s="16">
        <v>2.491103202846975E-2</v>
      </c>
    </row>
    <row r="27" spans="1:29" x14ac:dyDescent="0.35">
      <c r="AB27" s="26">
        <v>600</v>
      </c>
      <c r="AC27" s="16">
        <v>4.9822064056939501E-2</v>
      </c>
    </row>
    <row r="28" spans="1:29" x14ac:dyDescent="0.35">
      <c r="AB28" s="26">
        <v>800</v>
      </c>
      <c r="AC28" s="16">
        <v>4.6263345195729534E-2</v>
      </c>
    </row>
    <row r="29" spans="1:29" x14ac:dyDescent="0.35">
      <c r="AA29" t="s">
        <v>54</v>
      </c>
      <c r="AC29" s="16">
        <v>0.61921708185053381</v>
      </c>
    </row>
    <row r="30" spans="1:29" x14ac:dyDescent="0.35">
      <c r="AA30" t="s">
        <v>42</v>
      </c>
      <c r="AC30" s="16">
        <v>1</v>
      </c>
    </row>
  </sheetData>
  <mergeCells count="1">
    <mergeCell ref="A1:C1"/>
  </mergeCells>
  <pageMargins left="0.7" right="0.7" top="0.75" bottom="0.75" header="0.3" footer="0.3"/>
  <drawing r:id="rId2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BB6DD-CE68-43FC-A114-2F60EDAFF02B}">
  <dimension ref="A1"/>
  <sheetViews>
    <sheetView showGridLines="0" topLeftCell="D1" zoomScale="98" zoomScaleNormal="98" workbookViewId="0">
      <selection activeCell="V26" sqref="V26"/>
    </sheetView>
  </sheetViews>
  <sheetFormatPr defaultRowHeight="14.5" x14ac:dyDescent="0.35"/>
  <cols>
    <col min="1" max="16384" width="8.7265625" style="2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8C17CB-DB31-4011-B548-5876B77D24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BPCR Table</vt:lpstr>
      <vt:lpstr>Descriptive analayse </vt:lpstr>
      <vt:lpstr>Pivot</vt:lpstr>
      <vt:lpstr>Dashboard</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Hamse Essa</cp:lastModifiedBy>
  <dcterms:created xsi:type="dcterms:W3CDTF">2011-08-01T14:22:18Z</dcterms:created>
  <dcterms:modified xsi:type="dcterms:W3CDTF">2026-08-11T18:20:53Z</dcterms:modified>
</cp:coreProperties>
</file>